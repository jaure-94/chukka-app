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25" sheetId="1" r:id="rId4"/>
    <sheet state="visible" name="Nov 25" sheetId="2" r:id="rId5"/>
    <sheet state="visible" name="Dec 25" sheetId="3" r:id="rId6"/>
    <sheet state="visible" name="Jan 26" sheetId="4" r:id="rId7"/>
    <sheet state="visible" name="Feb 26" sheetId="5" r:id="rId8"/>
    <sheet state="visible" name="Mar 26" sheetId="6" r:id="rId9"/>
    <sheet state="visible" name="Apr 26" sheetId="7" r:id="rId10"/>
    <sheet state="visible" name="May 26" sheetId="8" r:id="rId11"/>
    <sheet state="visible" name="Jun 26" sheetId="9" r:id="rId12"/>
    <sheet state="visible" name="July 26" sheetId="10" r:id="rId13"/>
    <sheet state="visible" name="Aug 26" sheetId="11" r:id="rId14"/>
    <sheet state="visible" name="Sept 26" sheetId="12" r:id="rId15"/>
    <sheet state="visible" name="Summary 2026" sheetId="13" r:id="rId16"/>
  </sheets>
  <definedNames>
    <definedName hidden="1" localSheetId="2" name="_xlnm._FilterDatabase">'Dec 25'!$B$1:$B$92</definedName>
    <definedName hidden="1" localSheetId="3" name="_xlnm._FilterDatabase">'Jan 26'!$B$1:$B$93</definedName>
  </definedNames>
  <calcPr/>
</workbook>
</file>

<file path=xl/sharedStrings.xml><?xml version="1.0" encoding="utf-8"?>
<sst xmlns="http://schemas.openxmlformats.org/spreadsheetml/2006/main" count="2112" uniqueCount="82">
  <si>
    <t>DATE</t>
  </si>
  <si>
    <t>LINE</t>
  </si>
  <si>
    <t>SHIP NAME</t>
  </si>
  <si>
    <t>Catamaran Sail &amp; Snorkel</t>
  </si>
  <si>
    <t>Champagne Adults Only</t>
  </si>
  <si>
    <t>Invisible Boat Family</t>
  </si>
  <si>
    <t>PAX TOTALS, ANALYSIS  and RATES</t>
  </si>
  <si>
    <t>Sold</t>
  </si>
  <si>
    <t>Allotment</t>
  </si>
  <si>
    <t>Chukka Tours (Sold)</t>
  </si>
  <si>
    <t>Alloted Pax</t>
  </si>
  <si>
    <t>Pax on Board</t>
  </si>
  <si>
    <t>Pax on Tour</t>
  </si>
  <si>
    <t>Capture Rate</t>
  </si>
  <si>
    <t>Utilization Rate</t>
  </si>
  <si>
    <t>Market Share</t>
  </si>
  <si>
    <t>{{date}}</t>
  </si>
  <si>
    <t>{{cruise_line}}</t>
  </si>
  <si>
    <t>{{ship_name}}</t>
  </si>
  <si>
    <t>{{cat_sold}}</t>
  </si>
  <si>
    <t>{{cat_allot}}</t>
  </si>
  <si>
    <t>{{champ_sold}}</t>
  </si>
  <si>
    <t>{{champ_allot}}</t>
  </si>
  <si>
    <t>{{inv_sold}}</t>
  </si>
  <si>
    <t>{{inv_allot}}</t>
  </si>
  <si>
    <t>{{pax_on_board}}</t>
  </si>
  <si>
    <t>{{pax_on_tour}}</t>
  </si>
  <si>
    <t>TOTAL</t>
  </si>
  <si>
    <t>No. Of Calls</t>
  </si>
  <si>
    <t>Line Code</t>
  </si>
  <si>
    <t>Pax Per Line</t>
  </si>
  <si>
    <t xml:space="preserve">Allotments </t>
  </si>
  <si>
    <t>Pax Per Call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</si>
  <si>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</si>
  <si>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</si>
  <si>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</si>
  <si>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</si>
  <si>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</si>
  <si>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</si>
  <si>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</si>
  <si>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</si>
  <si>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</si>
  <si>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</si>
  <si>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</si>
  <si>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</si>
  <si>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</si>
  <si>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</si>
  <si>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</si>
  <si>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</si>
  <si>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</si>
  <si>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</si>
  <si>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</si>
  <si>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</si>
  <si>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</si>
  <si>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</si>
  <si>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</si>
  <si>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</si>
  <si>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Cunard</t>
  </si>
  <si>
    <t>Vista</t>
  </si>
  <si>
    <t>Conquest</t>
  </si>
  <si>
    <t>Glory</t>
  </si>
  <si>
    <t>Liberty</t>
  </si>
  <si>
    <t>Freedom</t>
  </si>
  <si>
    <t>Elation</t>
  </si>
  <si>
    <t>Pride</t>
  </si>
  <si>
    <t>Mardi Gras</t>
  </si>
  <si>
    <t>Celebration</t>
  </si>
  <si>
    <t>Horizon</t>
  </si>
  <si>
    <t>Dream</t>
  </si>
  <si>
    <t>Sunrise</t>
  </si>
  <si>
    <t>Venezia</t>
  </si>
  <si>
    <t>Magic</t>
  </si>
  <si>
    <t>Panorama</t>
  </si>
  <si>
    <t>Sunshine</t>
  </si>
  <si>
    <t>Splendor</t>
  </si>
  <si>
    <t>Legend</t>
  </si>
  <si>
    <t>Jubilee</t>
  </si>
  <si>
    <t>Miracle</t>
  </si>
  <si>
    <t>Firenze</t>
  </si>
  <si>
    <t>Luminosa</t>
  </si>
  <si>
    <t>Radiance</t>
  </si>
  <si>
    <t>Sensation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</si>
</sst>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_(* #,##0_);_(* \(#,##0\);_(* &quot;-&quot;_);_(@_)"/>
    <numFmt numFmtId="166" formatCode="0.0%"/>
    <numFmt numFmtId="167" formatCode="_(* #,##0_);_(* \(#,##0\);_(* &quot;-&quot;??_);_(@_)"/>
  </numFmts>
  <fonts count="8">
    <font>
      <sz val="10.0"/>
      <color rgb="FF000000"/>
      <name val="Verdana"/>
      <scheme val="minor"/>
    </font>
    <font>
      <sz val="10.0"/>
      <color theme="1"/>
      <name val="Verdana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5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vertical="center"/>
    </xf>
    <xf borderId="11" fillId="4" fontId="2" numFmtId="0" xfId="0" applyAlignment="1" applyBorder="1" applyFill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0" fillId="0" fontId="4" numFmtId="164" xfId="0" applyAlignment="1" applyFont="1" applyNumberFormat="1">
      <alignment horizontal="center"/>
    </xf>
    <xf borderId="17" fillId="6" fontId="5" numFmtId="0" xfId="0" applyAlignment="1" applyBorder="1" applyFill="1" applyFont="1">
      <alignment horizontal="center"/>
    </xf>
    <xf borderId="18" fillId="6" fontId="6" numFmtId="0" xfId="0" applyAlignment="1" applyBorder="1" applyFont="1">
      <alignment horizontal="center"/>
    </xf>
    <xf borderId="11" fillId="2" fontId="6" numFmtId="165" xfId="0" applyAlignment="1" applyBorder="1" applyFont="1" applyNumberFormat="1">
      <alignment horizontal="center"/>
    </xf>
    <xf borderId="19" fillId="2" fontId="6" numFmtId="165" xfId="0" applyAlignment="1" applyBorder="1" applyFont="1" applyNumberFormat="1">
      <alignment horizontal="center"/>
    </xf>
    <xf borderId="20" fillId="2" fontId="6" numFmtId="165" xfId="0" applyAlignment="1" applyBorder="1" applyFont="1" applyNumberFormat="1">
      <alignment horizontal="center"/>
    </xf>
    <xf borderId="21" fillId="0" fontId="6" numFmtId="165" xfId="0" applyAlignment="1" applyBorder="1" applyFont="1" applyNumberFormat="1">
      <alignment horizontal="center"/>
    </xf>
    <xf borderId="19" fillId="0" fontId="6" numFmtId="165" xfId="0" applyAlignment="1" applyBorder="1" applyFont="1" applyNumberFormat="1">
      <alignment horizontal="center"/>
    </xf>
    <xf borderId="20" fillId="0" fontId="6" numFmtId="165" xfId="0" applyAlignment="1" applyBorder="1" applyFont="1" applyNumberFormat="1">
      <alignment horizontal="center"/>
    </xf>
    <xf borderId="22" fillId="0" fontId="6" numFmtId="165" xfId="0" applyAlignment="1" applyBorder="1" applyFont="1" applyNumberFormat="1">
      <alignment horizontal="center"/>
    </xf>
    <xf borderId="20" fillId="3" fontId="6" numFmtId="165" xfId="0" applyAlignment="1" applyBorder="1" applyFont="1" applyNumberFormat="1">
      <alignment horizontal="center"/>
    </xf>
    <xf borderId="19" fillId="3" fontId="6" numFmtId="165" xfId="0" applyAlignment="1" applyBorder="1" applyFont="1" applyNumberFormat="1">
      <alignment horizontal="center"/>
    </xf>
    <xf borderId="11" fillId="4" fontId="6" numFmtId="165" xfId="0" applyAlignment="1" applyBorder="1" applyFont="1" applyNumberFormat="1">
      <alignment horizontal="center"/>
    </xf>
    <xf borderId="19" fillId="4" fontId="6" numFmtId="165" xfId="0" applyAlignment="1" applyBorder="1" applyFont="1" applyNumberFormat="1">
      <alignment horizontal="center"/>
    </xf>
    <xf borderId="23" fillId="5" fontId="6" numFmtId="165" xfId="0" applyAlignment="1" applyBorder="1" applyFont="1" applyNumberFormat="1">
      <alignment horizontal="center"/>
    </xf>
    <xf borderId="24" fillId="0" fontId="6" numFmtId="9" xfId="0" applyAlignment="1" applyBorder="1" applyFont="1" applyNumberFormat="1">
      <alignment horizontal="center"/>
    </xf>
    <xf borderId="22" fillId="0" fontId="6" numFmtId="9" xfId="0" applyAlignment="1" applyBorder="1" applyFont="1" applyNumberFormat="1">
      <alignment horizontal="center"/>
    </xf>
    <xf borderId="19" fillId="0" fontId="6" numFmtId="9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0" fontId="5" numFmtId="0" xfId="0" applyAlignment="1" applyBorder="1" applyFont="1">
      <alignment horizontal="center"/>
    </xf>
    <xf borderId="2" fillId="2" fontId="7" numFmtId="165" xfId="0" applyAlignment="1" applyBorder="1" applyFont="1" applyNumberFormat="1">
      <alignment horizontal="center"/>
    </xf>
    <xf borderId="3" fillId="2" fontId="7" numFmtId="165" xfId="0" applyAlignment="1" applyBorder="1" applyFont="1" applyNumberFormat="1">
      <alignment horizontal="center"/>
    </xf>
    <xf borderId="25" fillId="2" fontId="7" numFmtId="165" xfId="0" applyAlignment="1" applyBorder="1" applyFont="1" applyNumberFormat="1">
      <alignment horizontal="center"/>
    </xf>
    <xf borderId="2" fillId="0" fontId="7" numFmtId="165" xfId="0" applyAlignment="1" applyBorder="1" applyFont="1" applyNumberFormat="1">
      <alignment horizontal="center"/>
    </xf>
    <xf borderId="3" fillId="0" fontId="7" numFmtId="165" xfId="0" applyAlignment="1" applyBorder="1" applyFont="1" applyNumberFormat="1">
      <alignment horizontal="center"/>
    </xf>
    <xf borderId="26" fillId="0" fontId="7" numFmtId="165" xfId="0" applyAlignment="1" applyBorder="1" applyFont="1" applyNumberFormat="1">
      <alignment horizontal="center"/>
    </xf>
    <xf borderId="2" fillId="3" fontId="7" numFmtId="165" xfId="0" applyAlignment="1" applyBorder="1" applyFont="1" applyNumberFormat="1">
      <alignment horizontal="center"/>
    </xf>
    <xf borderId="3" fillId="3" fontId="7" numFmtId="165" xfId="0" applyAlignment="1" applyBorder="1" applyFont="1" applyNumberFormat="1">
      <alignment horizontal="center"/>
    </xf>
    <xf borderId="2" fillId="4" fontId="5" numFmtId="165" xfId="0" applyAlignment="1" applyBorder="1" applyFont="1" applyNumberFormat="1">
      <alignment horizontal="center"/>
    </xf>
    <xf borderId="3" fillId="4" fontId="5" numFmtId="165" xfId="0" applyAlignment="1" applyBorder="1" applyFont="1" applyNumberFormat="1">
      <alignment horizontal="center"/>
    </xf>
    <xf borderId="27" fillId="5" fontId="7" numFmtId="165" xfId="0" applyAlignment="1" applyBorder="1" applyFont="1" applyNumberFormat="1">
      <alignment horizontal="center"/>
    </xf>
    <xf borderId="28" fillId="0" fontId="7" numFmtId="9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29" fillId="0" fontId="1" numFmtId="164" xfId="0" applyBorder="1" applyFont="1" applyNumberFormat="1"/>
    <xf borderId="30" fillId="0" fontId="1" numFmtId="0" xfId="0" applyBorder="1" applyFont="1"/>
    <xf borderId="31" fillId="7" fontId="1" numFmtId="0" xfId="0" applyAlignment="1" applyBorder="1" applyFill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32" fillId="7" fontId="1" numFmtId="0" xfId="0" applyAlignment="1" applyBorder="1" applyFont="1">
      <alignment horizontal="center" shrinkToFit="0" vertical="center" wrapText="1"/>
    </xf>
    <xf borderId="15" fillId="0" fontId="1" numFmtId="164" xfId="0" applyBorder="1" applyFont="1" applyNumberFormat="1"/>
    <xf borderId="33" fillId="7" fontId="6" numFmtId="165" xfId="0" applyAlignment="1" applyBorder="1" applyFont="1" applyNumberFormat="1">
      <alignment horizontal="center"/>
    </xf>
    <xf borderId="34" fillId="0" fontId="6" numFmtId="165" xfId="0" applyAlignment="1" applyBorder="1" applyFont="1" applyNumberFormat="1">
      <alignment horizontal="center"/>
    </xf>
    <xf borderId="34" fillId="0" fontId="6" numFmtId="166" xfId="0" applyAlignment="1" applyBorder="1" applyFont="1" applyNumberFormat="1">
      <alignment horizontal="center"/>
    </xf>
    <xf borderId="33" fillId="7" fontId="6" numFmtId="166" xfId="0" applyAlignment="1" applyBorder="1" applyFont="1" applyNumberFormat="1">
      <alignment horizontal="center"/>
    </xf>
    <xf borderId="35" fillId="0" fontId="1" numFmtId="1" xfId="0" applyBorder="1" applyFont="1" applyNumberFormat="1"/>
    <xf borderId="36" fillId="7" fontId="6" numFmtId="165" xfId="0" applyAlignment="1" applyBorder="1" applyFont="1" applyNumberFormat="1">
      <alignment horizontal="center"/>
    </xf>
    <xf borderId="14" fillId="0" fontId="6" numFmtId="165" xfId="0" applyAlignment="1" applyBorder="1" applyFont="1" applyNumberFormat="1">
      <alignment horizontal="center"/>
    </xf>
    <xf borderId="14" fillId="0" fontId="6" numFmtId="166" xfId="0" applyAlignment="1" applyBorder="1" applyFont="1" applyNumberFormat="1">
      <alignment horizontal="center"/>
    </xf>
    <xf borderId="36" fillId="7" fontId="6" numFmtId="166" xfId="0" applyAlignment="1" applyBorder="1" applyFont="1" applyNumberFormat="1">
      <alignment horizontal="center"/>
    </xf>
    <xf borderId="7" fillId="0" fontId="1" numFmtId="164" xfId="0" applyBorder="1" applyFont="1" applyNumberFormat="1"/>
    <xf borderId="37" fillId="0" fontId="6" numFmtId="165" xfId="0" applyAlignment="1" applyBorder="1" applyFont="1" applyNumberFormat="1">
      <alignment horizontal="center"/>
    </xf>
    <xf borderId="37" fillId="0" fontId="1" numFmtId="0" xfId="0" applyBorder="1" applyFont="1"/>
    <xf borderId="17" fillId="7" fontId="6" numFmtId="165" xfId="0" applyAlignment="1" applyBorder="1" applyFont="1" applyNumberFormat="1">
      <alignment horizontal="center"/>
    </xf>
    <xf borderId="6" fillId="0" fontId="6" numFmtId="165" xfId="0" applyAlignment="1" applyBorder="1" applyFont="1" applyNumberFormat="1">
      <alignment horizontal="center"/>
    </xf>
    <xf borderId="6" fillId="0" fontId="6" numFmtId="166" xfId="0" applyAlignment="1" applyBorder="1" applyFont="1" applyNumberFormat="1">
      <alignment horizontal="center"/>
    </xf>
    <xf borderId="17" fillId="7" fontId="6" numFmtId="166" xfId="0" applyAlignment="1" applyBorder="1" applyFont="1" applyNumberFormat="1">
      <alignment horizontal="center"/>
    </xf>
    <xf borderId="38" fillId="0" fontId="1" numFmtId="1" xfId="0" applyBorder="1" applyFont="1" applyNumberFormat="1"/>
    <xf borderId="0" fillId="0" fontId="1" numFmtId="165" xfId="0" applyFont="1" applyNumberFormat="1"/>
    <xf borderId="24" fillId="8" fontId="1" numFmtId="0" xfId="0" applyAlignment="1" applyBorder="1" applyFill="1" applyFont="1">
      <alignment horizontal="center" shrinkToFit="0" vertical="center" wrapText="1"/>
    </xf>
    <xf borderId="23" fillId="8" fontId="1" numFmtId="0" xfId="0" applyAlignment="1" applyBorder="1" applyFont="1">
      <alignment horizontal="center" shrinkToFit="0" vertical="center" wrapText="1"/>
    </xf>
    <xf borderId="15" fillId="0" fontId="1" numFmtId="0" xfId="0" applyBorder="1" applyFont="1"/>
    <xf borderId="36" fillId="8" fontId="6" numFmtId="165" xfId="0" applyAlignment="1" applyBorder="1" applyFont="1" applyNumberFormat="1">
      <alignment horizontal="center"/>
    </xf>
    <xf borderId="13" fillId="8" fontId="6" numFmtId="165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4" fillId="0" fontId="1" numFmtId="0" xfId="0" applyBorder="1" applyFont="1"/>
    <xf borderId="7" fillId="0" fontId="1" numFmtId="0" xfId="0" applyBorder="1" applyFont="1"/>
    <xf borderId="37" fillId="0" fontId="1" numFmtId="165" xfId="0" applyBorder="1" applyFont="1" applyNumberFormat="1"/>
    <xf borderId="17" fillId="8" fontId="6" numFmtId="165" xfId="0" applyAlignment="1" applyBorder="1" applyFont="1" applyNumberFormat="1">
      <alignment horizontal="center"/>
    </xf>
    <xf borderId="39" fillId="8" fontId="6" numFmtId="165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39" fillId="8" fontId="1" numFmtId="0" xfId="0" applyAlignment="1" applyBorder="1" applyFont="1">
      <alignment horizontal="center"/>
    </xf>
    <xf borderId="6" fillId="0" fontId="1" numFmtId="0" xfId="0" applyBorder="1" applyFont="1"/>
    <xf borderId="11" fillId="3" fontId="6" numFmtId="165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right"/>
    </xf>
    <xf borderId="20" fillId="2" fontId="6" numFmtId="13" xfId="0" applyAlignment="1" applyBorder="1" applyFont="1" applyNumberFormat="1">
      <alignment horizontal="center"/>
    </xf>
    <xf borderId="40" fillId="0" fontId="1" numFmtId="0" xfId="0" applyBorder="1" applyFont="1"/>
    <xf borderId="35" fillId="0" fontId="1" numFmtId="0" xfId="0" applyBorder="1" applyFont="1"/>
    <xf borderId="38" fillId="0" fontId="1" numFmtId="0" xfId="0" applyBorder="1" applyFont="1"/>
    <xf borderId="24" fillId="0" fontId="1" numFmtId="0" xfId="0" applyBorder="1" applyFont="1"/>
    <xf borderId="36" fillId="6" fontId="5" numFmtId="0" xfId="0" applyAlignment="1" applyBorder="1" applyFont="1">
      <alignment horizontal="center"/>
    </xf>
    <xf borderId="41" fillId="6" fontId="6" numFmtId="0" xfId="0" applyAlignment="1" applyBorder="1" applyFont="1">
      <alignment horizontal="center"/>
    </xf>
    <xf borderId="42" fillId="2" fontId="6" numFmtId="165" xfId="0" applyAlignment="1" applyBorder="1" applyFont="1" applyNumberFormat="1">
      <alignment horizontal="center"/>
    </xf>
    <xf borderId="43" fillId="2" fontId="6" numFmtId="165" xfId="0" applyAlignment="1" applyBorder="1" applyFont="1" applyNumberFormat="1">
      <alignment horizontal="center"/>
    </xf>
    <xf borderId="44" fillId="0" fontId="6" numFmtId="165" xfId="0" applyAlignment="1" applyBorder="1" applyFont="1" applyNumberFormat="1">
      <alignment horizontal="center"/>
    </xf>
    <xf borderId="45" fillId="0" fontId="6" numFmtId="165" xfId="0" applyAlignment="1" applyBorder="1" applyFont="1" applyNumberFormat="1">
      <alignment horizontal="center"/>
    </xf>
    <xf borderId="29" fillId="0" fontId="6" numFmtId="165" xfId="0" applyAlignment="1" applyBorder="1" applyFont="1" applyNumberFormat="1">
      <alignment horizontal="center"/>
    </xf>
    <xf borderId="42" fillId="3" fontId="6" numFmtId="165" xfId="0" applyAlignment="1" applyBorder="1" applyFont="1" applyNumberFormat="1">
      <alignment horizontal="center"/>
    </xf>
    <xf borderId="43" fillId="3" fontId="6" numFmtId="165" xfId="0" applyAlignment="1" applyBorder="1" applyFont="1" applyNumberFormat="1">
      <alignment horizontal="center"/>
    </xf>
    <xf borderId="46" fillId="5" fontId="6" numFmtId="165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7" fillId="0" fontId="7" numFmtId="165" xfId="0" applyAlignment="1" applyBorder="1" applyFont="1" applyNumberFormat="1">
      <alignment horizontal="center"/>
    </xf>
    <xf borderId="48" fillId="0" fontId="7" numFmtId="165" xfId="0" applyAlignment="1" applyBorder="1" applyFont="1" applyNumberFormat="1">
      <alignment horizontal="center"/>
    </xf>
    <xf borderId="49" fillId="4" fontId="6" numFmtId="165" xfId="0" applyAlignment="1" applyBorder="1" applyFont="1" applyNumberFormat="1">
      <alignment horizontal="center"/>
    </xf>
    <xf borderId="50" fillId="4" fontId="5" numFmtId="165" xfId="0" applyAlignment="1" applyBorder="1" applyFont="1" applyNumberFormat="1">
      <alignment horizontal="center"/>
    </xf>
    <xf borderId="51" fillId="5" fontId="7" numFmtId="165" xfId="0" applyAlignment="1" applyBorder="1" applyFont="1" applyNumberFormat="1">
      <alignment horizontal="center"/>
    </xf>
    <xf borderId="26" fillId="0" fontId="7" numFmtId="9" xfId="0" applyAlignment="1" applyBorder="1" applyFont="1" applyNumberFormat="1">
      <alignment horizontal="center"/>
    </xf>
    <xf borderId="52" fillId="9" fontId="1" numFmtId="0" xfId="0" applyBorder="1" applyFill="1" applyFont="1"/>
    <xf borderId="53" fillId="9" fontId="1" numFmtId="0" xfId="0" applyBorder="1" applyFont="1"/>
    <xf borderId="1" fillId="0" fontId="1" numFmtId="0" xfId="0" applyBorder="1" applyFont="1"/>
    <xf borderId="5" fillId="0" fontId="1" numFmtId="0" xfId="0" applyBorder="1" applyFont="1"/>
    <xf borderId="53" fillId="3" fontId="1" numFmtId="0" xfId="0" applyBorder="1" applyFont="1"/>
    <xf borderId="4" fillId="0" fontId="1" numFmtId="0" xfId="0" applyBorder="1" applyFont="1"/>
    <xf borderId="2" fillId="4" fontId="6" numFmtId="165" xfId="0" applyAlignment="1" applyBorder="1" applyFont="1" applyNumberFormat="1">
      <alignment horizontal="center"/>
    </xf>
    <xf borderId="2" fillId="2" fontId="5" numFmtId="165" xfId="0" applyAlignment="1" applyBorder="1" applyFont="1" applyNumberFormat="1">
      <alignment horizontal="center"/>
    </xf>
    <xf borderId="3" fillId="2" fontId="5" numFmtId="165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  <xf borderId="3" fillId="0" fontId="5" numFmtId="165" xfId="0" applyAlignment="1" applyBorder="1" applyFont="1" applyNumberFormat="1">
      <alignment horizontal="center"/>
    </xf>
    <xf borderId="26" fillId="0" fontId="5" numFmtId="165" xfId="0" applyAlignment="1" applyBorder="1" applyFont="1" applyNumberFormat="1">
      <alignment horizontal="center"/>
    </xf>
    <xf borderId="2" fillId="3" fontId="5" numFmtId="165" xfId="0" applyAlignment="1" applyBorder="1" applyFont="1" applyNumberFormat="1">
      <alignment horizontal="center"/>
    </xf>
    <xf borderId="3" fillId="3" fontId="5" numFmtId="165" xfId="0" applyAlignment="1" applyBorder="1" applyFont="1" applyNumberFormat="1">
      <alignment horizontal="center"/>
    </xf>
    <xf borderId="27" fillId="5" fontId="5" numFmtId="165" xfId="0" applyAlignment="1" applyBorder="1" applyFont="1" applyNumberFormat="1">
      <alignment horizontal="center"/>
    </xf>
    <xf borderId="28" fillId="0" fontId="5" numFmtId="9" xfId="0" applyAlignment="1" applyBorder="1" applyFont="1" applyNumberFormat="1">
      <alignment horizontal="center"/>
    </xf>
    <xf borderId="26" fillId="0" fontId="5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0" xfId="0" applyFont="1" applyNumberFormat="1"/>
    <xf borderId="0" fillId="0" fontId="6" numFmtId="9" xfId="0" applyAlignment="1" applyFont="1" applyNumberFormat="1">
      <alignment horizontal="center"/>
    </xf>
    <xf borderId="25" fillId="5" fontId="7" numFmtId="165" xfId="0" applyAlignment="1" applyBorder="1" applyFont="1" applyNumberFormat="1">
      <alignment horizontal="center"/>
    </xf>
    <xf borderId="53" fillId="5" fontId="1" numFmtId="167" xfId="0" applyBorder="1" applyFont="1" applyNumberFormat="1"/>
    <xf borderId="25" fillId="5" fontId="1" numFmtId="167" xfId="0" applyBorder="1" applyFont="1" applyNumberFormat="1"/>
    <xf borderId="26" fillId="0" fontId="1" numFmtId="0" xfId="0" applyBorder="1" applyFont="1"/>
    <xf borderId="1" fillId="10" fontId="2" numFmtId="0" xfId="0" applyAlignment="1" applyBorder="1" applyFill="1" applyFont="1">
      <alignment horizontal="center" shrinkToFit="0" vertical="center" wrapText="1"/>
    </xf>
    <xf borderId="36" fillId="10" fontId="2" numFmtId="0" xfId="0" applyAlignment="1" applyBorder="1" applyFont="1">
      <alignment horizontal="center" shrinkToFit="0" vertical="center" wrapText="1"/>
    </xf>
    <xf borderId="41" fillId="10" fontId="2" numFmtId="0" xfId="0" applyAlignment="1" applyBorder="1" applyFont="1">
      <alignment horizontal="center" shrinkToFit="0" vertical="center" wrapText="1"/>
    </xf>
    <xf borderId="54" fillId="10" fontId="2" numFmtId="0" xfId="0" applyAlignment="1" applyBorder="1" applyFont="1">
      <alignment horizontal="center" shrinkToFit="0" vertical="center" wrapText="1"/>
    </xf>
    <xf borderId="55" fillId="2" fontId="6" numFmtId="165" xfId="0" applyAlignment="1" applyBorder="1" applyFont="1" applyNumberFormat="1">
      <alignment horizontal="center"/>
    </xf>
    <xf borderId="24" fillId="10" fontId="6" numFmtId="9" xfId="0" applyAlignment="1" applyBorder="1" applyFont="1" applyNumberFormat="1">
      <alignment horizontal="center"/>
    </xf>
    <xf borderId="31" fillId="10" fontId="6" numFmtId="9" xfId="0" applyAlignment="1" applyBorder="1" applyFont="1" applyNumberFormat="1">
      <alignment horizontal="center"/>
    </xf>
    <xf borderId="19" fillId="10" fontId="6" numFmtId="9" xfId="0" applyAlignment="1" applyBorder="1" applyFont="1" applyNumberFormat="1">
      <alignment horizontal="center"/>
    </xf>
    <xf borderId="3" fillId="5" fontId="5" numFmtId="165" xfId="0" applyAlignment="1" applyBorder="1" applyFont="1" applyNumberFormat="1">
      <alignment horizontal="center"/>
    </xf>
    <xf borderId="3" fillId="10" fontId="5" numFmtId="9" xfId="0" applyAlignment="1" applyBorder="1" applyFont="1" applyNumberFormat="1">
      <alignment horizontal="center"/>
    </xf>
    <xf borderId="25" fillId="10" fontId="5" numFmtId="9" xfId="0" applyAlignment="1" applyBorder="1" applyFont="1" applyNumberFormat="1">
      <alignment horizontal="center"/>
    </xf>
    <xf borderId="56" fillId="9" fontId="1" numFmtId="0" xfId="0" applyBorder="1" applyFont="1"/>
    <xf borderId="23" fillId="7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5" width="10.11"/>
    <col customWidth="1" min="6" max="6" width="12.0"/>
    <col customWidth="1" min="7" max="7" width="11.89"/>
    <col customWidth="1" min="8" max="8" width="10.11"/>
    <col customWidth="1" min="9" max="9" width="9.67"/>
    <col customWidth="1" min="10" max="10" width="8.11"/>
    <col customWidth="1" min="11" max="11" width="9.67"/>
    <col customWidth="1" min="12" max="12" width="8.11"/>
    <col customWidth="1" min="13" max="13" width="9.67"/>
    <col customWidth="1" min="14" max="14" width="8.11"/>
    <col customWidth="1" min="15" max="15" width="9.67"/>
    <col customWidth="1" min="16" max="16" width="7.33"/>
    <col customWidth="1" min="17" max="17" width="9.67"/>
    <col customWidth="1" min="18" max="18" width="8.11"/>
    <col customWidth="1" min="19" max="19" width="9.67"/>
    <col customWidth="1" min="20" max="20" width="8.11"/>
    <col customWidth="1" min="21" max="21" width="9.67"/>
    <col customWidth="1" min="22" max="22" width="10.0"/>
    <col customWidth="1" min="23" max="23" width="9.67"/>
    <col customWidth="1" hidden="1" min="24" max="24" width="8.11"/>
    <col customWidth="1" hidden="1" min="25" max="25" width="9.67"/>
    <col customWidth="1" hidden="1" min="26" max="26" width="7.33"/>
    <col customWidth="1" hidden="1" min="27" max="27" width="9.67"/>
    <col customWidth="1" hidden="1" min="28" max="28" width="8.11"/>
    <col customWidth="1" hidden="1" min="29" max="29" width="9.67"/>
    <col customWidth="1" hidden="1" min="30" max="30" width="7.33"/>
    <col customWidth="1" hidden="1" min="31" max="31" width="9.67"/>
    <col customWidth="1" hidden="1" min="32" max="32" width="8.11"/>
    <col customWidth="1" hidden="1" min="33" max="33" width="9.67"/>
    <col customWidth="1" hidden="1" min="34" max="34" width="8.11"/>
    <col customWidth="1" hidden="1" min="35" max="35" width="9.67"/>
    <col customWidth="1" hidden="1" min="36" max="36" width="7.33"/>
    <col customWidth="1" hidden="1" min="37" max="37" width="9.67"/>
    <col customWidth="1" hidden="1" min="38" max="38" width="7.33"/>
    <col customWidth="1" hidden="1" min="39" max="39" width="9.67"/>
    <col customWidth="1" hidden="1" min="40" max="40" width="8.11"/>
    <col customWidth="1" hidden="1" min="41" max="41" width="9.67"/>
    <col customWidth="1" hidden="1" min="42" max="42" width="7.33"/>
    <col customWidth="1" hidden="1" min="43" max="43" width="9.67"/>
    <col customWidth="1" hidden="1" min="44" max="44" width="8.11"/>
    <col customWidth="1" hidden="1" min="45" max="45" width="9.67"/>
    <col customWidth="1" hidden="1" min="46" max="46" width="7.33"/>
    <col customWidth="1" hidden="1" min="47" max="47" width="9.67"/>
    <col customWidth="1" hidden="1" min="48" max="48" width="8.11"/>
    <col customWidth="1" hidden="1" min="49" max="49" width="9.67"/>
    <col customWidth="1" hidden="1" min="50" max="50" width="8.11"/>
    <col customWidth="1" hidden="1" min="51" max="51" width="9.67"/>
    <col customWidth="1" hidden="1" min="52" max="52" width="7.33"/>
    <col customWidth="1" hidden="1" min="53" max="53" width="9.67"/>
    <col customWidth="1" hidden="1" min="54" max="54" width="8.11"/>
    <col customWidth="1" hidden="1" min="55" max="55" width="9.67"/>
    <col customWidth="1" hidden="1" min="56" max="56" width="7.33"/>
    <col customWidth="1" hidden="1" min="57" max="57" width="9.67"/>
    <col customWidth="1" hidden="1" min="58" max="58" width="8.11"/>
    <col customWidth="1" hidden="1" min="59" max="59" width="9.67"/>
    <col customWidth="1" hidden="1" min="60" max="60" width="7.33"/>
    <col customWidth="1" hidden="1" min="61" max="61" width="9.67"/>
    <col customWidth="1" hidden="1" min="62" max="62" width="8.11"/>
    <col customWidth="1" hidden="1" min="63" max="63" width="9.67"/>
    <col customWidth="1" hidden="1" min="64" max="64" width="7.33"/>
    <col customWidth="1" hidden="1" min="65" max="65" width="9.67"/>
    <col customWidth="1" hidden="1" min="66" max="66" width="8.11"/>
    <col customWidth="1" hidden="1" min="67" max="67" width="9.67"/>
    <col customWidth="1" hidden="1" min="68" max="68" width="7.33"/>
    <col customWidth="1" hidden="1" min="69" max="69" width="9.67"/>
    <col customWidth="1" min="70" max="70" width="10.67"/>
    <col customWidth="1" min="71" max="71" width="13.0"/>
    <col customWidth="1" min="72" max="72" width="13.56"/>
    <col customWidth="1" min="73" max="73" width="12.22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3"/>
      <c r="Q4" s="32"/>
      <c r="R4" s="33"/>
      <c r="S4" s="32"/>
      <c r="T4" s="33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6"/>
      <c r="AG4" s="35"/>
      <c r="AH4" s="36"/>
      <c r="AI4" s="35"/>
      <c r="AJ4" s="36"/>
      <c r="AK4" s="35"/>
      <c r="AL4" s="36"/>
      <c r="AM4" s="35"/>
      <c r="AN4" s="36"/>
      <c r="AO4" s="35"/>
      <c r="AP4" s="36"/>
      <c r="AQ4" s="35"/>
      <c r="AR4" s="36"/>
      <c r="AS4" s="35"/>
      <c r="AT4" s="36"/>
      <c r="AU4" s="35"/>
      <c r="AV4" s="36"/>
      <c r="AW4" s="35"/>
      <c r="AX4" s="36"/>
      <c r="AY4" s="37"/>
      <c r="AZ4" s="38"/>
      <c r="BA4" s="39"/>
      <c r="BB4" s="38"/>
      <c r="BC4" s="39"/>
      <c r="BD4" s="38"/>
      <c r="BE4" s="39"/>
      <c r="BF4" s="38"/>
      <c r="BG4" s="39"/>
      <c r="BH4" s="38"/>
      <c r="BI4" s="39"/>
      <c r="BJ4" s="38"/>
      <c r="BK4" s="39"/>
      <c r="BL4" s="38"/>
      <c r="BM4" s="39"/>
      <c r="BN4" s="38"/>
      <c r="BO4" s="39"/>
      <c r="BP4" s="38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28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28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28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28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28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28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28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28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28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28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28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28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28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28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28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28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28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28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28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28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28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28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28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28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28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28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28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28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28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28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28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28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28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28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28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28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28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28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28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28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28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28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28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28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28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28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28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28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28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28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28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28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28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28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28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28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28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28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28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28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28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28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28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28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28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28"/>
      <c r="B70" s="29"/>
      <c r="C70" s="30"/>
      <c r="D70" s="33"/>
      <c r="E70" s="32"/>
      <c r="F70" s="33"/>
      <c r="G70" s="32"/>
      <c r="H70" s="33"/>
      <c r="I70" s="32"/>
      <c r="J70" s="33"/>
      <c r="K70" s="32"/>
      <c r="L70" s="33"/>
      <c r="M70" s="32"/>
      <c r="N70" s="33"/>
      <c r="O70" s="32"/>
      <c r="P70" s="33"/>
      <c r="Q70" s="32"/>
      <c r="R70" s="33"/>
      <c r="S70" s="32"/>
      <c r="T70" s="33"/>
      <c r="U70" s="32"/>
      <c r="V70" s="33"/>
      <c r="W70" s="32"/>
      <c r="X70" s="36"/>
      <c r="Y70" s="35"/>
      <c r="Z70" s="36"/>
      <c r="AA70" s="35"/>
      <c r="AB70" s="36"/>
      <c r="AC70" s="35"/>
      <c r="AD70" s="36"/>
      <c r="AE70" s="35"/>
      <c r="AF70" s="36"/>
      <c r="AG70" s="35"/>
      <c r="AH70" s="36"/>
      <c r="AI70" s="35"/>
      <c r="AJ70" s="36"/>
      <c r="AK70" s="35"/>
      <c r="AL70" s="36"/>
      <c r="AM70" s="35"/>
      <c r="AN70" s="36"/>
      <c r="AO70" s="35"/>
      <c r="AP70" s="36"/>
      <c r="AQ70" s="35"/>
      <c r="AR70" s="36"/>
      <c r="AS70" s="35"/>
      <c r="AT70" s="36"/>
      <c r="AU70" s="35"/>
      <c r="AV70" s="36"/>
      <c r="AW70" s="35"/>
      <c r="AX70" s="36"/>
      <c r="AY70" s="37"/>
      <c r="AZ70" s="38"/>
      <c r="BA70" s="39"/>
      <c r="BB70" s="38"/>
      <c r="BC70" s="39"/>
      <c r="BD70" s="38"/>
      <c r="BE70" s="39"/>
      <c r="BF70" s="38"/>
      <c r="BG70" s="39"/>
      <c r="BH70" s="38"/>
      <c r="BI70" s="39"/>
      <c r="BJ70" s="38"/>
      <c r="BK70" s="39"/>
      <c r="BL70" s="38"/>
      <c r="BM70" s="39"/>
      <c r="BN70" s="38"/>
      <c r="BO70" s="39"/>
      <c r="BP70" s="38"/>
      <c r="BQ70" s="39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42"/>
      <c r="BU70" s="42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46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50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3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56" t="str">
        <f t="shared" si="71"/>
        <v>#VALUE!</v>
      </c>
      <c r="BS71" s="57" t="str">
        <f t="shared" si="71"/>
        <v>#VALUE!</v>
      </c>
      <c r="BT71" s="58">
        <f t="shared" si="71"/>
        <v>0</v>
      </c>
      <c r="BU71" s="58">
        <f t="shared" si="71"/>
        <v>0</v>
      </c>
      <c r="BV71" s="59" t="str">
        <f>BR71/BT71</f>
        <v>#VALUE!</v>
      </c>
      <c r="BW71" s="59" t="str">
        <f>BR71/BS71</f>
        <v>#VALUE!</v>
      </c>
      <c r="BX71" s="59" t="str">
        <f>BR71/BU71</f>
        <v>#VALUE!</v>
      </c>
    </row>
    <row r="72" ht="12.0" customHeight="1">
      <c r="A72" s="1"/>
      <c r="D72" s="2"/>
      <c r="E72" s="60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64" t="s">
        <v>32</v>
      </c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71" t="str">
        <f t="shared" ref="I75:I91" si="76"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71" t="str">
        <f t="shared" si="76"/>
        <v/>
      </c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7">SUMIF($B$4:$B$70,"DCL",BR4:BR70)</f>
        <v>0</v>
      </c>
      <c r="E77" s="73">
        <f t="shared" si="77"/>
        <v>0</v>
      </c>
      <c r="F77" s="72">
        <f t="shared" si="77"/>
        <v>0</v>
      </c>
      <c r="G77" s="74" t="str">
        <f t="shared" si="74"/>
        <v/>
      </c>
      <c r="H77" s="75" t="str">
        <f t="shared" si="75"/>
        <v/>
      </c>
      <c r="I77" s="71" t="str">
        <f t="shared" si="76"/>
        <v/>
      </c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8">SUMIF($B$4:$B$70,"CEL",BR4:BR70)</f>
        <v>0</v>
      </c>
      <c r="E78" s="73">
        <f t="shared" si="78"/>
        <v>0</v>
      </c>
      <c r="F78" s="72">
        <f t="shared" si="78"/>
        <v>0</v>
      </c>
      <c r="G78" s="74" t="str">
        <f t="shared" si="74"/>
        <v/>
      </c>
      <c r="H78" s="75" t="str">
        <f t="shared" si="75"/>
        <v/>
      </c>
      <c r="I78" s="71" t="str">
        <f t="shared" si="76"/>
        <v/>
      </c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9">SUMIF($B$4:$B$70,"CCL",BR4:BR70)</f>
        <v>0</v>
      </c>
      <c r="E79" s="73">
        <f t="shared" si="79"/>
        <v>0</v>
      </c>
      <c r="F79" s="72">
        <f t="shared" si="79"/>
        <v>0</v>
      </c>
      <c r="G79" s="74" t="str">
        <f t="shared" si="74"/>
        <v/>
      </c>
      <c r="H79" s="75" t="str">
        <f t="shared" si="75"/>
        <v/>
      </c>
      <c r="I79" s="71" t="str">
        <f t="shared" si="76"/>
        <v/>
      </c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80">SUMIF($B$4:$B$70,"PCL",BR4:BR70)</f>
        <v>0</v>
      </c>
      <c r="E80" s="73">
        <f t="shared" si="80"/>
        <v>0</v>
      </c>
      <c r="F80" s="72">
        <f t="shared" si="80"/>
        <v>0</v>
      </c>
      <c r="G80" s="74" t="str">
        <f t="shared" si="74"/>
        <v/>
      </c>
      <c r="H80" s="75" t="str">
        <f t="shared" si="75"/>
        <v/>
      </c>
      <c r="I80" s="71" t="str">
        <f t="shared" si="76"/>
        <v/>
      </c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1">SUMIF($B$4:$B$70,"HAL",BR4:BR70)</f>
        <v>0</v>
      </c>
      <c r="E81" s="73">
        <f t="shared" si="81"/>
        <v>0</v>
      </c>
      <c r="F81" s="72">
        <f t="shared" si="81"/>
        <v>0</v>
      </c>
      <c r="G81" s="74" t="str">
        <f t="shared" si="74"/>
        <v/>
      </c>
      <c r="H81" s="75" t="str">
        <f t="shared" si="75"/>
        <v/>
      </c>
      <c r="I81" s="71" t="str">
        <f t="shared" si="76"/>
        <v/>
      </c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2">SUMIF($B$4:$B$70,"Silver",BR4:BR70)</f>
        <v>0</v>
      </c>
      <c r="E82" s="73">
        <f t="shared" si="82"/>
        <v>0</v>
      </c>
      <c r="F82" s="72">
        <f t="shared" si="82"/>
        <v>0</v>
      </c>
      <c r="G82" s="74" t="str">
        <f t="shared" si="74"/>
        <v/>
      </c>
      <c r="H82" s="75" t="str">
        <f t="shared" si="75"/>
        <v/>
      </c>
      <c r="I82" s="71" t="str">
        <f t="shared" si="76"/>
        <v/>
      </c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3">SUMIF($B$4:$B$70,"Viking",BR4:BR70)</f>
        <v>0</v>
      </c>
      <c r="E83" s="73">
        <f t="shared" si="83"/>
        <v>0</v>
      </c>
      <c r="F83" s="72">
        <f t="shared" si="83"/>
        <v>0</v>
      </c>
      <c r="G83" s="74" t="str">
        <f t="shared" si="74"/>
        <v/>
      </c>
      <c r="H83" s="75" t="str">
        <f t="shared" si="75"/>
        <v/>
      </c>
      <c r="I83" s="71" t="str">
        <f t="shared" si="76"/>
        <v/>
      </c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4">SUMIF($B$4:$B$70,"Azamara",BR4:BR70)</f>
        <v>0</v>
      </c>
      <c r="E84" s="73">
        <f t="shared" si="84"/>
        <v>0</v>
      </c>
      <c r="F84" s="72">
        <f t="shared" si="84"/>
        <v>0</v>
      </c>
      <c r="G84" s="74" t="str">
        <f t="shared" si="74"/>
        <v/>
      </c>
      <c r="H84" s="75" t="str">
        <f t="shared" si="75"/>
        <v/>
      </c>
      <c r="I84" s="71" t="str">
        <f t="shared" si="76"/>
        <v/>
      </c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5">SUMIF($B$4:$B$70,"TUI",BR4:BR70)</f>
        <v>0</v>
      </c>
      <c r="E85" s="73">
        <f t="shared" si="85"/>
        <v>0</v>
      </c>
      <c r="F85" s="72">
        <f t="shared" si="85"/>
        <v>0</v>
      </c>
      <c r="G85" s="74" t="str">
        <f t="shared" si="74"/>
        <v/>
      </c>
      <c r="H85" s="75" t="str">
        <f t="shared" si="75"/>
        <v/>
      </c>
      <c r="I85" s="71" t="str">
        <f t="shared" si="76"/>
        <v/>
      </c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6">SUMIF($B$4:$B$70,"Marella",BR4:BR70)</f>
        <v>0</v>
      </c>
      <c r="E86" s="73">
        <f t="shared" si="86"/>
        <v>0</v>
      </c>
      <c r="F86" s="72">
        <f t="shared" si="86"/>
        <v>0</v>
      </c>
      <c r="G86" s="74" t="str">
        <f t="shared" si="74"/>
        <v/>
      </c>
      <c r="H86" s="75" t="str">
        <f t="shared" si="75"/>
        <v/>
      </c>
      <c r="I86" s="71" t="str">
        <f t="shared" si="76"/>
        <v/>
      </c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7">SUMIF($B$4:$B$70,"MSC",BR4:BR70)</f>
        <v>0</v>
      </c>
      <c r="E87" s="73">
        <f t="shared" si="87"/>
        <v>0</v>
      </c>
      <c r="F87" s="72">
        <f t="shared" si="87"/>
        <v>0</v>
      </c>
      <c r="G87" s="74" t="str">
        <f t="shared" si="74"/>
        <v/>
      </c>
      <c r="H87" s="75" t="str">
        <f t="shared" si="75"/>
        <v/>
      </c>
      <c r="I87" s="71" t="str">
        <f t="shared" si="76"/>
        <v/>
      </c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8">SUMIF($B$4:$B$70,"Regent",BR4:BR70)</f>
        <v>0</v>
      </c>
      <c r="E88" s="73">
        <f t="shared" si="88"/>
        <v>0</v>
      </c>
      <c r="F88" s="72">
        <f t="shared" si="88"/>
        <v>0</v>
      </c>
      <c r="G88" s="74" t="str">
        <f t="shared" si="74"/>
        <v/>
      </c>
      <c r="H88" s="75" t="str">
        <f t="shared" si="75"/>
        <v/>
      </c>
      <c r="I88" s="71" t="str">
        <f t="shared" si="76"/>
        <v/>
      </c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9">SUMIF($B$4:$B$70,"Windstar",BR4:BR70)</f>
        <v>0</v>
      </c>
      <c r="E89" s="73">
        <f t="shared" si="89"/>
        <v>0</v>
      </c>
      <c r="F89" s="72">
        <f t="shared" si="89"/>
        <v>0</v>
      </c>
      <c r="G89" s="74" t="str">
        <f t="shared" si="74"/>
        <v/>
      </c>
      <c r="H89" s="75" t="str">
        <f t="shared" si="75"/>
        <v/>
      </c>
      <c r="I89" s="71" t="str">
        <f t="shared" si="76"/>
        <v/>
      </c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90">SUMIF($B$4:$B$70,"Explora",BR4:BR70)</f>
        <v>0</v>
      </c>
      <c r="E90" s="73">
        <f t="shared" si="90"/>
        <v>0</v>
      </c>
      <c r="F90" s="72">
        <f t="shared" si="90"/>
        <v>0</v>
      </c>
      <c r="G90" s="74" t="str">
        <f t="shared" si="74"/>
        <v/>
      </c>
      <c r="H90" s="75" t="str">
        <f t="shared" si="75"/>
        <v/>
      </c>
      <c r="I90" s="71" t="str">
        <f t="shared" si="76"/>
        <v/>
      </c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1">SUMIF($B$4:$B$70,"Cunard",BR4:BR70)</f>
        <v>0</v>
      </c>
      <c r="E91" s="80">
        <f t="shared" si="91"/>
        <v>0</v>
      </c>
      <c r="F91" s="79">
        <f t="shared" si="91"/>
        <v>0</v>
      </c>
      <c r="G91" s="81" t="str">
        <f t="shared" si="74"/>
        <v/>
      </c>
      <c r="H91" s="82" t="str">
        <f t="shared" si="75"/>
        <v/>
      </c>
      <c r="I91" s="83" t="str">
        <f t="shared" si="76"/>
        <v/>
      </c>
      <c r="BR91" s="3"/>
      <c r="BS91" s="3"/>
    </row>
    <row r="92" ht="12.0" customHeight="1">
      <c r="A92" s="1"/>
      <c r="B92" s="84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64" t="s">
        <v>32</v>
      </c>
      <c r="BR94" s="3"/>
      <c r="BS94" s="3"/>
    </row>
    <row r="95" ht="12.0" customHeight="1">
      <c r="A95" s="87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2">IF(D95=0, "", D95/F95)</f>
        <v/>
      </c>
      <c r="H95" s="91" t="str">
        <f t="shared" ref="H95:H118" si="93">IF(D95=0, "",D95/E95)</f>
        <v/>
      </c>
      <c r="I95" s="92" t="str">
        <f t="shared" ref="I95:I118" si="94">IF(D95=0, "",D95/B95)</f>
        <v/>
      </c>
      <c r="BR95" s="3"/>
      <c r="BS95" s="3"/>
    </row>
    <row r="96" ht="12.0" customHeight="1">
      <c r="A96" s="87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2"/>
        <v/>
      </c>
      <c r="H96" s="91" t="str">
        <f t="shared" si="93"/>
        <v/>
      </c>
      <c r="I96" s="92" t="str">
        <f t="shared" si="94"/>
        <v/>
      </c>
      <c r="BR96" s="3"/>
      <c r="BS96" s="3"/>
    </row>
    <row r="97" ht="12.0" customHeight="1">
      <c r="A97" s="87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2"/>
        <v/>
      </c>
      <c r="H97" s="91" t="str">
        <f t="shared" si="93"/>
        <v/>
      </c>
      <c r="I97" s="92" t="str">
        <f t="shared" si="94"/>
        <v/>
      </c>
      <c r="BR97" s="3"/>
      <c r="BS97" s="3"/>
    </row>
    <row r="98" ht="12.0" customHeight="1">
      <c r="A98" s="87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2"/>
        <v/>
      </c>
      <c r="H98" s="91" t="str">
        <f t="shared" si="93"/>
        <v/>
      </c>
      <c r="I98" s="92" t="str">
        <f t="shared" si="94"/>
        <v/>
      </c>
      <c r="BR98" s="3"/>
      <c r="BS98" s="3"/>
    </row>
    <row r="99" ht="12.0" customHeight="1">
      <c r="A99" s="87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2"/>
        <v/>
      </c>
      <c r="H99" s="91" t="str">
        <f t="shared" si="93"/>
        <v/>
      </c>
      <c r="I99" s="92" t="str">
        <f t="shared" si="94"/>
        <v/>
      </c>
      <c r="BR99" s="3"/>
      <c r="BS99" s="3"/>
    </row>
    <row r="100" ht="12.0" customHeight="1">
      <c r="A100" s="87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2"/>
        <v/>
      </c>
      <c r="H100" s="91" t="str">
        <f t="shared" si="93"/>
        <v/>
      </c>
      <c r="I100" s="92" t="str">
        <f t="shared" si="94"/>
        <v/>
      </c>
      <c r="BR100" s="3"/>
      <c r="BS100" s="3"/>
    </row>
    <row r="101" ht="12.0" customHeight="1">
      <c r="A101" s="87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2"/>
        <v/>
      </c>
      <c r="H101" s="91" t="str">
        <f t="shared" si="93"/>
        <v/>
      </c>
      <c r="I101" s="92" t="str">
        <f t="shared" si="94"/>
        <v/>
      </c>
      <c r="BR101" s="3"/>
      <c r="BS101" s="3"/>
    </row>
    <row r="102" ht="12.0" customHeight="1">
      <c r="A102" s="87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2"/>
        <v/>
      </c>
      <c r="H102" s="91" t="str">
        <f t="shared" si="93"/>
        <v/>
      </c>
      <c r="I102" s="92" t="str">
        <f t="shared" si="94"/>
        <v/>
      </c>
      <c r="BR102" s="3"/>
      <c r="BS102" s="3"/>
    </row>
    <row r="103" ht="12.0" customHeight="1">
      <c r="A103" s="87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2"/>
        <v/>
      </c>
      <c r="H103" s="91" t="str">
        <f t="shared" si="93"/>
        <v/>
      </c>
      <c r="I103" s="92" t="str">
        <f t="shared" si="94"/>
        <v/>
      </c>
      <c r="BR103" s="3"/>
      <c r="BS103" s="3"/>
    </row>
    <row r="104" ht="12.0" customHeight="1">
      <c r="A104" s="87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2"/>
        <v/>
      </c>
      <c r="H104" s="91" t="str">
        <f t="shared" si="93"/>
        <v/>
      </c>
      <c r="I104" s="92" t="str">
        <f t="shared" si="94"/>
        <v/>
      </c>
      <c r="BR104" s="3"/>
      <c r="BS104" s="3"/>
    </row>
    <row r="105" ht="12.0" customHeight="1">
      <c r="A105" s="87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2"/>
        <v/>
      </c>
      <c r="H105" s="91" t="str">
        <f t="shared" si="93"/>
        <v/>
      </c>
      <c r="I105" s="92" t="str">
        <f t="shared" si="94"/>
        <v/>
      </c>
      <c r="BR105" s="3"/>
      <c r="BS105" s="3"/>
    </row>
    <row r="106" ht="12.0" customHeight="1">
      <c r="A106" s="87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2"/>
        <v/>
      </c>
      <c r="H106" s="91" t="str">
        <f t="shared" si="93"/>
        <v/>
      </c>
      <c r="I106" s="92" t="str">
        <f t="shared" si="94"/>
        <v/>
      </c>
      <c r="BR106" s="3"/>
      <c r="BS106" s="3"/>
    </row>
    <row r="107" ht="12.0" customHeight="1">
      <c r="A107" s="87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2"/>
        <v/>
      </c>
      <c r="H107" s="91" t="str">
        <f t="shared" si="93"/>
        <v/>
      </c>
      <c r="I107" s="92" t="str">
        <f t="shared" si="94"/>
        <v/>
      </c>
      <c r="BR107" s="3"/>
      <c r="BS107" s="3"/>
    </row>
    <row r="108" ht="12.0" customHeight="1">
      <c r="A108" s="87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2"/>
        <v/>
      </c>
      <c r="H108" s="91" t="str">
        <f t="shared" si="93"/>
        <v/>
      </c>
      <c r="I108" s="92" t="str">
        <f t="shared" si="94"/>
        <v/>
      </c>
      <c r="BR108" s="3"/>
      <c r="BS108" s="3"/>
    </row>
    <row r="109" ht="12.0" customHeight="1">
      <c r="A109" s="87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2"/>
        <v/>
      </c>
      <c r="H109" s="91" t="str">
        <f t="shared" si="93"/>
        <v/>
      </c>
      <c r="I109" s="92" t="str">
        <f t="shared" si="94"/>
        <v/>
      </c>
      <c r="BR109" s="3"/>
      <c r="BS109" s="3"/>
    </row>
    <row r="110" ht="12.0" customHeight="1">
      <c r="A110" s="87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2"/>
        <v/>
      </c>
      <c r="H110" s="91" t="str">
        <f t="shared" si="93"/>
        <v/>
      </c>
      <c r="I110" s="92" t="str">
        <f t="shared" si="94"/>
        <v/>
      </c>
      <c r="BR110" s="3"/>
      <c r="BS110" s="3"/>
    </row>
    <row r="111" ht="12.0" customHeight="1">
      <c r="A111" s="87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2"/>
        <v/>
      </c>
      <c r="H111" s="91" t="str">
        <f t="shared" si="93"/>
        <v/>
      </c>
      <c r="I111" s="92" t="str">
        <f t="shared" si="94"/>
        <v/>
      </c>
      <c r="BR111" s="3"/>
      <c r="BS111" s="3"/>
    </row>
    <row r="112" ht="12.0" customHeight="1">
      <c r="A112" s="87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2"/>
        <v/>
      </c>
      <c r="H112" s="91" t="str">
        <f t="shared" si="93"/>
        <v/>
      </c>
      <c r="I112" s="92" t="str">
        <f t="shared" si="94"/>
        <v/>
      </c>
      <c r="BR112" s="3"/>
      <c r="BS112" s="3"/>
    </row>
    <row r="113" ht="12.0" customHeight="1">
      <c r="A113" s="87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2"/>
        <v/>
      </c>
      <c r="H113" s="91" t="str">
        <f t="shared" si="93"/>
        <v/>
      </c>
      <c r="I113" s="92" t="str">
        <f t="shared" si="94"/>
        <v/>
      </c>
      <c r="BR113" s="3"/>
      <c r="BS113" s="3"/>
    </row>
    <row r="114" ht="12.0" customHeight="1">
      <c r="A114" s="87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2"/>
        <v/>
      </c>
      <c r="H114" s="91" t="str">
        <f t="shared" si="93"/>
        <v/>
      </c>
      <c r="I114" s="92" t="str">
        <f t="shared" si="94"/>
        <v/>
      </c>
      <c r="BR114" s="3"/>
      <c r="BS114" s="3"/>
    </row>
    <row r="115" ht="12.0" customHeight="1">
      <c r="A115" s="87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2"/>
        <v/>
      </c>
      <c r="H115" s="91" t="str">
        <f t="shared" si="93"/>
        <v/>
      </c>
      <c r="I115" s="92" t="str">
        <f t="shared" si="94"/>
        <v/>
      </c>
      <c r="BR115" s="3"/>
      <c r="BS115" s="3"/>
    </row>
    <row r="116" ht="12.0" customHeight="1">
      <c r="A116" s="87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2"/>
        <v/>
      </c>
      <c r="H116" s="91" t="str">
        <f t="shared" si="93"/>
        <v/>
      </c>
      <c r="I116" s="92" t="str">
        <f t="shared" si="94"/>
        <v/>
      </c>
      <c r="BR116" s="3"/>
      <c r="BS116" s="3"/>
    </row>
    <row r="117" ht="12.0" customHeight="1">
      <c r="A117" s="87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2"/>
        <v/>
      </c>
      <c r="H117" s="91" t="str">
        <f t="shared" si="93"/>
        <v/>
      </c>
      <c r="I117" s="92" t="str">
        <f t="shared" si="94"/>
        <v/>
      </c>
      <c r="BR117" s="3"/>
      <c r="BS117" s="3"/>
    </row>
    <row r="118" ht="12.0" customHeight="1">
      <c r="A118" s="93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2"/>
        <v/>
      </c>
      <c r="H118" s="98" t="str">
        <f t="shared" si="93"/>
        <v/>
      </c>
      <c r="I118" s="99" t="str">
        <f t="shared" si="94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33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10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33"/>
    <col customWidth="1" hidden="1" min="27" max="27" width="10.44"/>
    <col customWidth="1" hidden="1" min="28" max="28" width="8.44"/>
    <col customWidth="1" hidden="1" min="29" max="29" width="10.44"/>
    <col customWidth="1" hidden="1" min="30" max="30" width="7.33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33"/>
    <col customWidth="1" hidden="1" min="37" max="37" width="10.44"/>
    <col customWidth="1" hidden="1" min="38" max="38" width="7.33"/>
    <col customWidth="1" hidden="1" min="39" max="39" width="10.44"/>
    <col customWidth="1" hidden="1" min="40" max="40" width="8.44"/>
    <col customWidth="1" hidden="1" min="41" max="41" width="10.44"/>
    <col customWidth="1" hidden="1" min="42" max="42" width="7.33"/>
    <col customWidth="1" hidden="1" min="43" max="43" width="10.44"/>
    <col customWidth="1" hidden="1" min="44" max="44" width="8.44"/>
    <col customWidth="1" hidden="1" min="45" max="45" width="10.44"/>
    <col customWidth="1" hidden="1" min="46" max="46" width="7.33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10.44"/>
    <col customWidth="1" hidden="1" min="52" max="52" width="7.33"/>
    <col customWidth="1" hidden="1" min="53" max="53" width="10.44"/>
    <col customWidth="1" hidden="1" min="54" max="54" width="8.44"/>
    <col customWidth="1" hidden="1" min="55" max="55" width="10.44"/>
    <col customWidth="1" hidden="1" min="56" max="56" width="7.33"/>
    <col customWidth="1" hidden="1" min="57" max="57" width="10.44"/>
    <col customWidth="1" hidden="1" min="58" max="58" width="8.44"/>
    <col customWidth="1" hidden="1" min="59" max="59" width="10.44"/>
    <col customWidth="1" hidden="1" min="60" max="60" width="7.33"/>
    <col customWidth="1" hidden="1" min="61" max="61" width="10.44"/>
    <col customWidth="1" hidden="1" min="62" max="62" width="8.44"/>
    <col customWidth="1" hidden="1" min="63" max="63" width="10.44"/>
    <col customWidth="1" hidden="1" min="64" max="64" width="7.33"/>
    <col customWidth="1" hidden="1" min="65" max="65" width="10.44"/>
    <col customWidth="1" hidden="1" min="66" max="66" width="8.44"/>
    <col customWidth="1" hidden="1" min="67" max="67" width="10.44"/>
    <col customWidth="1" hidden="1" min="68" max="68" width="7.33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1"/>
      <c r="E5" s="32"/>
      <c r="F5" s="31"/>
      <c r="G5" s="32"/>
      <c r="H5" s="31"/>
      <c r="I5" s="32"/>
      <c r="J5" s="31"/>
      <c r="K5" s="32"/>
      <c r="L5" s="31"/>
      <c r="M5" s="32"/>
      <c r="N5" s="31"/>
      <c r="O5" s="32"/>
      <c r="P5" s="31"/>
      <c r="Q5" s="32"/>
      <c r="R5" s="31"/>
      <c r="S5" s="32"/>
      <c r="T5" s="31"/>
      <c r="U5" s="32"/>
      <c r="V5" s="31"/>
      <c r="W5" s="32"/>
      <c r="X5" s="34"/>
      <c r="Y5" s="35"/>
      <c r="Z5" s="34"/>
      <c r="AA5" s="35"/>
      <c r="AB5" s="34"/>
      <c r="AC5" s="35"/>
      <c r="AD5" s="34"/>
      <c r="AE5" s="35"/>
      <c r="AF5" s="34"/>
      <c r="AG5" s="35"/>
      <c r="AH5" s="34"/>
      <c r="AI5" s="35"/>
      <c r="AJ5" s="34"/>
      <c r="AK5" s="35"/>
      <c r="AL5" s="34"/>
      <c r="AM5" s="35"/>
      <c r="AN5" s="34"/>
      <c r="AO5" s="35"/>
      <c r="AP5" s="34"/>
      <c r="AQ5" s="35"/>
      <c r="AR5" s="34"/>
      <c r="AS5" s="35"/>
      <c r="AT5" s="34"/>
      <c r="AU5" s="35"/>
      <c r="AV5" s="34"/>
      <c r="AW5" s="35"/>
      <c r="AX5" s="34"/>
      <c r="AY5" s="37"/>
      <c r="AZ5" s="100"/>
      <c r="BA5" s="39"/>
      <c r="BB5" s="100"/>
      <c r="BC5" s="39"/>
      <c r="BD5" s="100"/>
      <c r="BE5" s="39"/>
      <c r="BF5" s="100"/>
      <c r="BG5" s="39"/>
      <c r="BH5" s="100"/>
      <c r="BI5" s="39"/>
      <c r="BJ5" s="100"/>
      <c r="BK5" s="39"/>
      <c r="BL5" s="100"/>
      <c r="BM5" s="39"/>
      <c r="BN5" s="100"/>
      <c r="BO5" s="39"/>
      <c r="BP5" s="100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102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29"/>
      <c r="C70" s="30"/>
      <c r="D70" s="33"/>
      <c r="E70" s="32"/>
      <c r="F70" s="33"/>
      <c r="G70" s="32"/>
      <c r="H70" s="33"/>
      <c r="I70" s="32"/>
      <c r="J70" s="33"/>
      <c r="K70" s="32"/>
      <c r="L70" s="33"/>
      <c r="M70" s="32"/>
      <c r="N70" s="33"/>
      <c r="O70" s="32"/>
      <c r="P70" s="33"/>
      <c r="Q70" s="32"/>
      <c r="R70" s="33"/>
      <c r="S70" s="32"/>
      <c r="T70" s="33"/>
      <c r="U70" s="32"/>
      <c r="V70" s="33"/>
      <c r="W70" s="32"/>
      <c r="X70" s="36"/>
      <c r="Y70" s="35"/>
      <c r="Z70" s="36"/>
      <c r="AA70" s="35"/>
      <c r="AB70" s="36"/>
      <c r="AC70" s="35"/>
      <c r="AD70" s="36"/>
      <c r="AE70" s="35"/>
      <c r="AF70" s="36"/>
      <c r="AG70" s="35"/>
      <c r="AH70" s="36"/>
      <c r="AI70" s="35"/>
      <c r="AJ70" s="36"/>
      <c r="AK70" s="35"/>
      <c r="AL70" s="36"/>
      <c r="AM70" s="35"/>
      <c r="AN70" s="36"/>
      <c r="AO70" s="35"/>
      <c r="AP70" s="36"/>
      <c r="AQ70" s="35"/>
      <c r="AR70" s="36"/>
      <c r="AS70" s="35"/>
      <c r="AT70" s="36"/>
      <c r="AU70" s="35"/>
      <c r="AV70" s="36"/>
      <c r="AW70" s="35"/>
      <c r="AX70" s="36"/>
      <c r="AY70" s="37"/>
      <c r="AZ70" s="38"/>
      <c r="BA70" s="39"/>
      <c r="BB70" s="38"/>
      <c r="BC70" s="39"/>
      <c r="BD70" s="38"/>
      <c r="BE70" s="39"/>
      <c r="BF70" s="38"/>
      <c r="BG70" s="39"/>
      <c r="BH70" s="38"/>
      <c r="BI70" s="39"/>
      <c r="BJ70" s="38"/>
      <c r="BK70" s="39"/>
      <c r="BL70" s="38"/>
      <c r="BM70" s="39"/>
      <c r="BN70" s="38"/>
      <c r="BO70" s="39"/>
      <c r="BP70" s="38"/>
      <c r="BQ70" s="39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42"/>
      <c r="BU70" s="42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56" t="str">
        <f t="shared" si="71"/>
        <v>#VALUE!</v>
      </c>
      <c r="BS71" s="57" t="str">
        <f t="shared" si="71"/>
        <v>#VALUE!</v>
      </c>
      <c r="BT71" s="58">
        <f t="shared" si="71"/>
        <v>0</v>
      </c>
      <c r="BU71" s="58">
        <f t="shared" si="71"/>
        <v>0</v>
      </c>
      <c r="BV71" s="59" t="str">
        <f>BR71/BT71</f>
        <v>#VALUE!</v>
      </c>
      <c r="BW71" s="59" t="str">
        <f>BR71/BS71</f>
        <v>#VALUE!</v>
      </c>
      <c r="BX71" s="5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B92" s="84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33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7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33"/>
    <col customWidth="1" hidden="1" min="27" max="27" width="10.44"/>
    <col customWidth="1" hidden="1" min="28" max="28" width="8.44"/>
    <col customWidth="1" hidden="1" min="29" max="29" width="10.44"/>
    <col customWidth="1" hidden="1" min="30" max="30" width="7.33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33"/>
    <col customWidth="1" hidden="1" min="37" max="37" width="10.44"/>
    <col customWidth="1" hidden="1" min="38" max="38" width="7.33"/>
    <col customWidth="1" hidden="1" min="39" max="39" width="10.44"/>
    <col customWidth="1" hidden="1" min="40" max="40" width="8.44"/>
    <col customWidth="1" hidden="1" min="41" max="41" width="10.44"/>
    <col customWidth="1" hidden="1" min="42" max="42" width="7.33"/>
    <col customWidth="1" hidden="1" min="43" max="43" width="10.44"/>
    <col customWidth="1" hidden="1" min="44" max="44" width="8.44"/>
    <col customWidth="1" hidden="1" min="45" max="45" width="10.44"/>
    <col customWidth="1" hidden="1" min="46" max="46" width="7.33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7.44"/>
    <col customWidth="1" hidden="1" min="52" max="52" width="7.33"/>
    <col customWidth="1" hidden="1" min="53" max="53" width="10.44"/>
    <col customWidth="1" hidden="1" min="54" max="54" width="8.44"/>
    <col customWidth="1" hidden="1" min="55" max="55" width="10.44"/>
    <col customWidth="1" hidden="1" min="56" max="56" width="7.33"/>
    <col customWidth="1" hidden="1" min="57" max="57" width="10.44"/>
    <col customWidth="1" hidden="1" min="58" max="58" width="8.44"/>
    <col customWidth="1" hidden="1" min="59" max="59" width="10.44"/>
    <col customWidth="1" hidden="1" min="60" max="60" width="7.33"/>
    <col customWidth="1" hidden="1" min="61" max="61" width="10.44"/>
    <col customWidth="1" hidden="1" min="62" max="62" width="8.44"/>
    <col customWidth="1" hidden="1" min="63" max="63" width="10.44"/>
    <col customWidth="1" hidden="1" min="64" max="64" width="7.33"/>
    <col customWidth="1" hidden="1" min="65" max="65" width="10.44"/>
    <col customWidth="1" hidden="1" min="66" max="66" width="8.44"/>
    <col customWidth="1" hidden="1" min="67" max="67" width="10.44"/>
    <col customWidth="1" hidden="1" min="68" max="68" width="7.33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30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30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117"/>
      <c r="D71" s="48">
        <f t="shared" ref="D71:BQ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118">
        <f t="shared" si="71"/>
        <v>0</v>
      </c>
      <c r="AY71" s="119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20">
        <f>D71+F71+H71+J71+L71+N71+V71+X71+Z71+AB71+AD71+AF71+AZ71+BB71+BD71+BF71+BH71+AH71+P71+R71+AJ71+BJ71+AL71+AN71+AP71+AR71+AT71+AX71+AV71+BL71+T71</f>
        <v>0</v>
      </c>
      <c r="BS71" s="121">
        <f>E71+G71+I71+K71+M71+O71+W71+Y71+AA71+AC71+AE71+AG71+BA71+BC71+BE71+BG71+BI71+AI71+Q71+S71+AK71+BK71+AM71+AO71+AQ71+AS71+AU71+AY71</f>
        <v>0</v>
      </c>
      <c r="BT71" s="122">
        <f t="shared" ref="BT71:BU71" si="72">SUM(BT4:BT70)</f>
        <v>0</v>
      </c>
      <c r="BU71" s="122">
        <f t="shared" si="72"/>
        <v>0</v>
      </c>
      <c r="BV71" s="59" t="str">
        <f>BR71/BT71</f>
        <v>#DIV/0!</v>
      </c>
      <c r="BW71" s="123" t="str">
        <f t="shared" ref="BW71:BX71" si="73">BR71/BS71</f>
        <v>#DIV/0!</v>
      </c>
      <c r="BX71" s="123" t="str">
        <f t="shared" si="73"/>
        <v>#DIV/0!</v>
      </c>
    </row>
    <row r="72" ht="12.0" customHeight="1">
      <c r="A72" s="1"/>
      <c r="D72" s="2"/>
      <c r="E72" s="2"/>
      <c r="F72" s="2"/>
      <c r="G72" s="2"/>
      <c r="H72" s="2"/>
      <c r="AX72" s="124"/>
      <c r="AY72" s="125"/>
      <c r="BR72" s="126"/>
      <c r="BS72" s="127"/>
      <c r="BT72" s="128"/>
      <c r="BU72" s="128"/>
      <c r="BV72" s="127" t="str">
        <f t="shared" ref="BV72:BW72" si="74">SUM(BV5:BV71)</f>
        <v>#DIV/0!</v>
      </c>
      <c r="BW72" s="127" t="str">
        <f t="shared" si="74"/>
        <v>#DIV/0!</v>
      </c>
      <c r="BX72" s="129" t="str">
        <f>BR72/BU72</f>
        <v>#DIV/0!</v>
      </c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5">SUMIF($B$4:$B$70,"RCL",BR4:BR70)</f>
        <v>0</v>
      </c>
      <c r="E75" s="68">
        <f t="shared" si="75"/>
        <v>0</v>
      </c>
      <c r="F75" s="67">
        <f t="shared" si="75"/>
        <v>0</v>
      </c>
      <c r="G75" s="69" t="str">
        <f t="shared" ref="G75:G91" si="77">IF(D75=0, "", D75/F75)</f>
        <v/>
      </c>
      <c r="H75" s="70" t="str">
        <f t="shared" ref="H75:H91" si="78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6">SUMIF($B$4:$B$70,"NCL",BR4:BR70)</f>
        <v>0</v>
      </c>
      <c r="E76" s="73">
        <f t="shared" si="76"/>
        <v>0</v>
      </c>
      <c r="F76" s="72">
        <f t="shared" si="76"/>
        <v>0</v>
      </c>
      <c r="G76" s="74" t="str">
        <f t="shared" si="77"/>
        <v/>
      </c>
      <c r="H76" s="75" t="str">
        <f t="shared" si="78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9">SUMIF($B$4:$B$70,"DCL",BR4:BR70)</f>
        <v>0</v>
      </c>
      <c r="E77" s="73">
        <f t="shared" si="79"/>
        <v>0</v>
      </c>
      <c r="F77" s="72">
        <f t="shared" si="79"/>
        <v>0</v>
      </c>
      <c r="G77" s="74" t="str">
        <f t="shared" si="77"/>
        <v/>
      </c>
      <c r="H77" s="75" t="str">
        <f t="shared" si="78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80">SUMIF($B$4:$B$70,"CEL",BR4:BR70)</f>
        <v>0</v>
      </c>
      <c r="E78" s="73">
        <f t="shared" si="80"/>
        <v>0</v>
      </c>
      <c r="F78" s="72">
        <f t="shared" si="80"/>
        <v>0</v>
      </c>
      <c r="G78" s="74" t="str">
        <f t="shared" si="77"/>
        <v/>
      </c>
      <c r="H78" s="75" t="str">
        <f t="shared" si="78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81">SUMIF($B$4:$B$70,"CCL",BR4:BR70)</f>
        <v>0</v>
      </c>
      <c r="E79" s="73">
        <f t="shared" si="81"/>
        <v>0</v>
      </c>
      <c r="F79" s="72">
        <f t="shared" si="81"/>
        <v>0</v>
      </c>
      <c r="G79" s="74" t="str">
        <f t="shared" si="77"/>
        <v/>
      </c>
      <c r="H79" s="75" t="str">
        <f t="shared" si="78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82">SUMIF($B$4:$B$70,"PCL",BR4:BR70)</f>
        <v>0</v>
      </c>
      <c r="E80" s="73">
        <f t="shared" si="82"/>
        <v>0</v>
      </c>
      <c r="F80" s="72">
        <f t="shared" si="82"/>
        <v>0</v>
      </c>
      <c r="G80" s="74" t="str">
        <f t="shared" si="77"/>
        <v/>
      </c>
      <c r="H80" s="75" t="str">
        <f t="shared" si="78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3">SUMIF($B$4:$B$70,"HAL",BR4:BR70)</f>
        <v>0</v>
      </c>
      <c r="E81" s="73">
        <f t="shared" si="83"/>
        <v>0</v>
      </c>
      <c r="F81" s="72">
        <f t="shared" si="83"/>
        <v>0</v>
      </c>
      <c r="G81" s="74" t="str">
        <f t="shared" si="77"/>
        <v/>
      </c>
      <c r="H81" s="75" t="str">
        <f t="shared" si="78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4">SUMIF($B$4:$B$70,"Silver",BR4:BR70)</f>
        <v>0</v>
      </c>
      <c r="E82" s="73">
        <f t="shared" si="84"/>
        <v>0</v>
      </c>
      <c r="F82" s="72">
        <f t="shared" si="84"/>
        <v>0</v>
      </c>
      <c r="G82" s="74" t="str">
        <f t="shared" si="77"/>
        <v/>
      </c>
      <c r="H82" s="75" t="str">
        <f t="shared" si="78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5">SUMIF($B$4:$B$70,"Viking",BR4:BR70)</f>
        <v>0</v>
      </c>
      <c r="E83" s="73">
        <f t="shared" si="85"/>
        <v>0</v>
      </c>
      <c r="F83" s="72">
        <f t="shared" si="85"/>
        <v>0</v>
      </c>
      <c r="G83" s="74" t="str">
        <f t="shared" si="77"/>
        <v/>
      </c>
      <c r="H83" s="75" t="str">
        <f t="shared" si="78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6">SUMIF($B$4:$B$70,"Azamara",BR4:BR70)</f>
        <v>0</v>
      </c>
      <c r="E84" s="73">
        <f t="shared" si="86"/>
        <v>0</v>
      </c>
      <c r="F84" s="72">
        <f t="shared" si="86"/>
        <v>0</v>
      </c>
      <c r="G84" s="74" t="str">
        <f t="shared" si="77"/>
        <v/>
      </c>
      <c r="H84" s="75" t="str">
        <f t="shared" si="78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7">SUMIF($B$4:$B$70,"TUI",BR4:BR70)</f>
        <v>0</v>
      </c>
      <c r="E85" s="73">
        <f t="shared" si="87"/>
        <v>0</v>
      </c>
      <c r="F85" s="72">
        <f t="shared" si="87"/>
        <v>0</v>
      </c>
      <c r="G85" s="74" t="str">
        <f t="shared" si="77"/>
        <v/>
      </c>
      <c r="H85" s="75" t="str">
        <f t="shared" si="78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8">SUMIF($B$4:$B$70,"Marella",BR4:BR70)</f>
        <v>0</v>
      </c>
      <c r="E86" s="73">
        <f t="shared" si="88"/>
        <v>0</v>
      </c>
      <c r="F86" s="72">
        <f t="shared" si="88"/>
        <v>0</v>
      </c>
      <c r="G86" s="74" t="str">
        <f t="shared" si="77"/>
        <v/>
      </c>
      <c r="H86" s="75" t="str">
        <f t="shared" si="78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9">SUMIF($B$4:$B$70,"MSC",BR4:BR70)</f>
        <v>0</v>
      </c>
      <c r="E87" s="73">
        <f t="shared" si="89"/>
        <v>0</v>
      </c>
      <c r="F87" s="72">
        <f t="shared" si="89"/>
        <v>0</v>
      </c>
      <c r="G87" s="74" t="str">
        <f t="shared" si="77"/>
        <v/>
      </c>
      <c r="H87" s="75" t="str">
        <f t="shared" si="78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90">SUMIF($B$4:$B$70,"Regent",BR4:BR70)</f>
        <v>0</v>
      </c>
      <c r="E88" s="73">
        <f t="shared" si="90"/>
        <v>0</v>
      </c>
      <c r="F88" s="72">
        <f t="shared" si="90"/>
        <v>0</v>
      </c>
      <c r="G88" s="74" t="str">
        <f t="shared" si="77"/>
        <v/>
      </c>
      <c r="H88" s="75" t="str">
        <f t="shared" si="78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91">SUMIF($B$4:$B$70,"Windstar",BR4:BR70)</f>
        <v>0</v>
      </c>
      <c r="E89" s="73">
        <f t="shared" si="91"/>
        <v>0</v>
      </c>
      <c r="F89" s="72">
        <f t="shared" si="91"/>
        <v>0</v>
      </c>
      <c r="G89" s="74" t="str">
        <f t="shared" si="77"/>
        <v/>
      </c>
      <c r="H89" s="75" t="str">
        <f t="shared" si="78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92">SUMIF($B$4:$B$70,"Explora",BR4:BR70)</f>
        <v>0</v>
      </c>
      <c r="E90" s="73">
        <f t="shared" si="92"/>
        <v>0</v>
      </c>
      <c r="F90" s="72">
        <f t="shared" si="92"/>
        <v>0</v>
      </c>
      <c r="G90" s="74" t="str">
        <f t="shared" si="77"/>
        <v/>
      </c>
      <c r="H90" s="75" t="str">
        <f t="shared" si="78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3">SUMIF($B$4:$B$70,"Cunard",BR4:BR70)</f>
        <v>0</v>
      </c>
      <c r="E91" s="80">
        <f t="shared" si="93"/>
        <v>0</v>
      </c>
      <c r="F91" s="79">
        <f t="shared" si="93"/>
        <v>0</v>
      </c>
      <c r="G91" s="81" t="str">
        <f t="shared" si="77"/>
        <v/>
      </c>
      <c r="H91" s="82" t="str">
        <f t="shared" si="78"/>
        <v/>
      </c>
      <c r="I91" s="105"/>
      <c r="BR91" s="3"/>
      <c r="BS91" s="3"/>
    </row>
    <row r="92" ht="12.0" customHeight="1">
      <c r="A92" s="1"/>
      <c r="B92" s="84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4">IF(D95=0, "", D95/F95)</f>
        <v/>
      </c>
      <c r="H95" s="91" t="str">
        <f t="shared" ref="H95:H118" si="95">IF(D95=0, "",D95/E95)</f>
        <v/>
      </c>
      <c r="I95" s="92" t="str">
        <f t="shared" ref="I95:I118" si="96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4"/>
        <v/>
      </c>
      <c r="H96" s="91" t="str">
        <f t="shared" si="95"/>
        <v/>
      </c>
      <c r="I96" s="92" t="str">
        <f t="shared" si="96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4"/>
        <v/>
      </c>
      <c r="H97" s="91" t="str">
        <f t="shared" si="95"/>
        <v/>
      </c>
      <c r="I97" s="92" t="str">
        <f t="shared" si="96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4"/>
        <v/>
      </c>
      <c r="H98" s="91" t="str">
        <f t="shared" si="95"/>
        <v/>
      </c>
      <c r="I98" s="92" t="str">
        <f t="shared" si="96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4"/>
        <v/>
      </c>
      <c r="H99" s="91" t="str">
        <f t="shared" si="95"/>
        <v/>
      </c>
      <c r="I99" s="92" t="str">
        <f t="shared" si="96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4"/>
        <v/>
      </c>
      <c r="H100" s="91" t="str">
        <f t="shared" si="95"/>
        <v/>
      </c>
      <c r="I100" s="92" t="str">
        <f t="shared" si="96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4"/>
        <v/>
      </c>
      <c r="H101" s="91" t="str">
        <f t="shared" si="95"/>
        <v/>
      </c>
      <c r="I101" s="92" t="str">
        <f t="shared" si="96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4"/>
        <v/>
      </c>
      <c r="H102" s="91" t="str">
        <f t="shared" si="95"/>
        <v/>
      </c>
      <c r="I102" s="92" t="str">
        <f t="shared" si="96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4"/>
        <v/>
      </c>
      <c r="H103" s="91" t="str">
        <f t="shared" si="95"/>
        <v/>
      </c>
      <c r="I103" s="92" t="str">
        <f t="shared" si="96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4"/>
        <v/>
      </c>
      <c r="H104" s="91" t="str">
        <f t="shared" si="95"/>
        <v/>
      </c>
      <c r="I104" s="92" t="str">
        <f t="shared" si="96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4"/>
        <v/>
      </c>
      <c r="H105" s="91" t="str">
        <f t="shared" si="95"/>
        <v/>
      </c>
      <c r="I105" s="92" t="str">
        <f t="shared" si="96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4"/>
        <v/>
      </c>
      <c r="H106" s="91" t="str">
        <f t="shared" si="95"/>
        <v/>
      </c>
      <c r="I106" s="92" t="str">
        <f t="shared" si="96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4"/>
        <v/>
      </c>
      <c r="H107" s="91" t="str">
        <f t="shared" si="95"/>
        <v/>
      </c>
      <c r="I107" s="92" t="str">
        <f t="shared" si="96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4"/>
        <v/>
      </c>
      <c r="H108" s="91" t="str">
        <f t="shared" si="95"/>
        <v/>
      </c>
      <c r="I108" s="92" t="str">
        <f t="shared" si="96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4"/>
        <v/>
      </c>
      <c r="H109" s="91" t="str">
        <f t="shared" si="95"/>
        <v/>
      </c>
      <c r="I109" s="92" t="str">
        <f t="shared" si="96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4"/>
        <v/>
      </c>
      <c r="H110" s="91" t="str">
        <f t="shared" si="95"/>
        <v/>
      </c>
      <c r="I110" s="92" t="str">
        <f t="shared" si="96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4"/>
        <v/>
      </c>
      <c r="H111" s="91" t="str">
        <f t="shared" si="95"/>
        <v/>
      </c>
      <c r="I111" s="92" t="str">
        <f t="shared" si="96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4"/>
        <v/>
      </c>
      <c r="H112" s="91" t="str">
        <f t="shared" si="95"/>
        <v/>
      </c>
      <c r="I112" s="92" t="str">
        <f t="shared" si="96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4"/>
        <v/>
      </c>
      <c r="H113" s="91" t="str">
        <f t="shared" si="95"/>
        <v/>
      </c>
      <c r="I113" s="92" t="str">
        <f t="shared" si="96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4"/>
        <v/>
      </c>
      <c r="H114" s="91" t="str">
        <f t="shared" si="95"/>
        <v/>
      </c>
      <c r="I114" s="92" t="str">
        <f t="shared" si="96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4"/>
        <v/>
      </c>
      <c r="H115" s="91" t="str">
        <f t="shared" si="95"/>
        <v/>
      </c>
      <c r="I115" s="92" t="str">
        <f t="shared" si="96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4"/>
        <v/>
      </c>
      <c r="H116" s="91" t="str">
        <f t="shared" si="95"/>
        <v/>
      </c>
      <c r="I116" s="92" t="str">
        <f t="shared" si="96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4"/>
        <v/>
      </c>
      <c r="H117" s="91" t="str">
        <f t="shared" si="95"/>
        <v/>
      </c>
      <c r="I117" s="92" t="str">
        <f t="shared" si="96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4"/>
        <v/>
      </c>
      <c r="H118" s="98" t="str">
        <f t="shared" si="95"/>
        <v/>
      </c>
      <c r="I118" s="99" t="str">
        <f t="shared" si="96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autoFilter ref="$B$1:$B$92"/>
  <mergeCells count="34"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33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10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33"/>
    <col customWidth="1" hidden="1" min="27" max="27" width="10.44"/>
    <col customWidth="1" hidden="1" min="28" max="28" width="8.44"/>
    <col customWidth="1" hidden="1" min="29" max="29" width="10.44"/>
    <col customWidth="1" hidden="1" min="30" max="30" width="7.33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33"/>
    <col customWidth="1" hidden="1" min="37" max="37" width="10.44"/>
    <col customWidth="1" hidden="1" min="38" max="38" width="7.33"/>
    <col customWidth="1" hidden="1" min="39" max="39" width="10.44"/>
    <col customWidth="1" hidden="1" min="40" max="40" width="8.44"/>
    <col customWidth="1" hidden="1" min="41" max="41" width="10.44"/>
    <col customWidth="1" hidden="1" min="42" max="42" width="7.33"/>
    <col customWidth="1" hidden="1" min="43" max="43" width="10.44"/>
    <col customWidth="1" hidden="1" min="44" max="44" width="8.44"/>
    <col customWidth="1" hidden="1" min="45" max="45" width="10.44"/>
    <col customWidth="1" hidden="1" min="46" max="46" width="7.33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10.44"/>
    <col customWidth="1" hidden="1" min="52" max="52" width="7.33"/>
    <col customWidth="1" hidden="1" min="53" max="53" width="10.44"/>
    <col customWidth="1" hidden="1" min="54" max="54" width="8.44"/>
    <col customWidth="1" hidden="1" min="55" max="55" width="10.44"/>
    <col customWidth="1" hidden="1" min="56" max="56" width="7.33"/>
    <col customWidth="1" hidden="1" min="57" max="57" width="10.44"/>
    <col customWidth="1" hidden="1" min="58" max="58" width="8.44"/>
    <col customWidth="1" hidden="1" min="59" max="59" width="10.44"/>
    <col customWidth="1" hidden="1" min="60" max="60" width="7.33"/>
    <col customWidth="1" hidden="1" min="61" max="61" width="10.44"/>
    <col customWidth="1" hidden="1" min="62" max="62" width="8.44"/>
    <col customWidth="1" hidden="1" min="63" max="63" width="10.44"/>
    <col customWidth="1" hidden="1" min="64" max="64" width="7.33"/>
    <col customWidth="1" hidden="1" min="65" max="65" width="10.44"/>
    <col customWidth="1" hidden="1" min="66" max="66" width="8.44"/>
    <col customWidth="1" hidden="1" min="67" max="67" width="10.44"/>
    <col customWidth="1" hidden="1" min="68" max="68" width="7.33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117"/>
      <c r="D71" s="48">
        <f t="shared" ref="D71:BQ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3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>
        <f>D71+F71+H71+J71+L71+N71+V71+X71+Z71+AB71+AD71+AF71+AZ71+BB71+BD71+BF71+BH71+AH71+P71+R71+AJ71+BJ71+AL71+AN71+AP71+AR71+AT71+AX71+AV71+BL71+T71</f>
        <v>0</v>
      </c>
      <c r="BS71" s="57">
        <f>E71+G71+I71+K71+M71+O71+W71+Y71+AA71+AC71+AE71+AG71+BA71+BC71+BE71+BG71+BI71+AI71+Q71+S71+AK71+BK71+AM71+AO71+AQ71+AS71+AU71+AY71</f>
        <v>0</v>
      </c>
      <c r="BT71" s="58">
        <f t="shared" ref="BT71:BU71" si="72">SUM(BT4:BT70)</f>
        <v>0</v>
      </c>
      <c r="BU71" s="58">
        <f t="shared" si="72"/>
        <v>0</v>
      </c>
      <c r="BV71" s="59" t="str">
        <f>BR71/BT71</f>
        <v>#DIV/0!</v>
      </c>
      <c r="BW71" s="123" t="str">
        <f>BR71/BS71</f>
        <v>#DIV/0!</v>
      </c>
      <c r="BX71" s="123" t="str">
        <f>BR71/BU71</f>
        <v>#DIV/0!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3">SUMIF($B$4:$B$70,"RCL",BR4:BR70)</f>
        <v>0</v>
      </c>
      <c r="E75" s="68">
        <f t="shared" si="73"/>
        <v>0</v>
      </c>
      <c r="F75" s="67">
        <f t="shared" si="73"/>
        <v>0</v>
      </c>
      <c r="G75" s="69" t="str">
        <f t="shared" ref="G75:G91" si="75">IF(D75=0, "", D75/F75)</f>
        <v/>
      </c>
      <c r="H75" s="70" t="str">
        <f t="shared" ref="H75:H91" si="76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4">SUMIF($B$4:$B$70,"NCL",BR4:BR70)</f>
        <v>0</v>
      </c>
      <c r="E76" s="73">
        <f t="shared" si="74"/>
        <v>0</v>
      </c>
      <c r="F76" s="72">
        <f t="shared" si="74"/>
        <v>0</v>
      </c>
      <c r="G76" s="74" t="str">
        <f t="shared" si="75"/>
        <v/>
      </c>
      <c r="H76" s="75" t="str">
        <f t="shared" si="76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7">SUMIF($B$4:$B$70,"DCL",BR4:BR70)</f>
        <v>0</v>
      </c>
      <c r="E77" s="73">
        <f t="shared" si="77"/>
        <v>0</v>
      </c>
      <c r="F77" s="72">
        <f t="shared" si="77"/>
        <v>0</v>
      </c>
      <c r="G77" s="74" t="str">
        <f t="shared" si="75"/>
        <v/>
      </c>
      <c r="H77" s="75" t="str">
        <f t="shared" si="76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8">SUMIF($B$4:$B$70,"CEL",BR4:BR70)</f>
        <v>0</v>
      </c>
      <c r="E78" s="73">
        <f t="shared" si="78"/>
        <v>0</v>
      </c>
      <c r="F78" s="72">
        <f t="shared" si="78"/>
        <v>0</v>
      </c>
      <c r="G78" s="74" t="str">
        <f t="shared" si="75"/>
        <v/>
      </c>
      <c r="H78" s="75" t="str">
        <f t="shared" si="76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9">SUMIF($B$4:$B$70,"CCL",BR4:BR70)</f>
        <v>0</v>
      </c>
      <c r="E79" s="73">
        <f t="shared" si="79"/>
        <v>0</v>
      </c>
      <c r="F79" s="72">
        <f t="shared" si="79"/>
        <v>0</v>
      </c>
      <c r="G79" s="74" t="str">
        <f t="shared" si="75"/>
        <v/>
      </c>
      <c r="H79" s="75" t="str">
        <f t="shared" si="76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80">SUMIF($B$4:$B$70,"PCL",BR4:BR70)</f>
        <v>0</v>
      </c>
      <c r="E80" s="73">
        <f t="shared" si="80"/>
        <v>0</v>
      </c>
      <c r="F80" s="72">
        <f t="shared" si="80"/>
        <v>0</v>
      </c>
      <c r="G80" s="74" t="str">
        <f t="shared" si="75"/>
        <v/>
      </c>
      <c r="H80" s="75" t="str">
        <f t="shared" si="76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1">SUMIF($B$4:$B$70,"HAL",BR4:BR70)</f>
        <v>0</v>
      </c>
      <c r="E81" s="73">
        <f t="shared" si="81"/>
        <v>0</v>
      </c>
      <c r="F81" s="72">
        <f t="shared" si="81"/>
        <v>0</v>
      </c>
      <c r="G81" s="74" t="str">
        <f t="shared" si="75"/>
        <v/>
      </c>
      <c r="H81" s="75" t="str">
        <f t="shared" si="76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2">SUMIF($B$4:$B$70,"Silver",BR4:BR70)</f>
        <v>0</v>
      </c>
      <c r="E82" s="73">
        <f t="shared" si="82"/>
        <v>0</v>
      </c>
      <c r="F82" s="72">
        <f t="shared" si="82"/>
        <v>0</v>
      </c>
      <c r="G82" s="74" t="str">
        <f t="shared" si="75"/>
        <v/>
      </c>
      <c r="H82" s="75" t="str">
        <f t="shared" si="76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3">SUMIF($B$4:$B$70,"Viking",BR4:BR70)</f>
        <v>0</v>
      </c>
      <c r="E83" s="73">
        <f t="shared" si="83"/>
        <v>0</v>
      </c>
      <c r="F83" s="72">
        <f t="shared" si="83"/>
        <v>0</v>
      </c>
      <c r="G83" s="74" t="str">
        <f t="shared" si="75"/>
        <v/>
      </c>
      <c r="H83" s="75" t="str">
        <f t="shared" si="76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4">SUMIF($B$4:$B$70,"Azamara",BR4:BR70)</f>
        <v>0</v>
      </c>
      <c r="E84" s="73">
        <f t="shared" si="84"/>
        <v>0</v>
      </c>
      <c r="F84" s="72">
        <f t="shared" si="84"/>
        <v>0</v>
      </c>
      <c r="G84" s="74" t="str">
        <f t="shared" si="75"/>
        <v/>
      </c>
      <c r="H84" s="75" t="str">
        <f t="shared" si="76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5">SUMIF($B$4:$B$70,"TUI",BR4:BR70)</f>
        <v>0</v>
      </c>
      <c r="E85" s="73">
        <f t="shared" si="85"/>
        <v>0</v>
      </c>
      <c r="F85" s="72">
        <f t="shared" si="85"/>
        <v>0</v>
      </c>
      <c r="G85" s="74" t="str">
        <f t="shared" si="75"/>
        <v/>
      </c>
      <c r="H85" s="75" t="str">
        <f t="shared" si="76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6">SUMIF($B$4:$B$70,"Marella",BR4:BR70)</f>
        <v>0</v>
      </c>
      <c r="E86" s="73">
        <f t="shared" si="86"/>
        <v>0</v>
      </c>
      <c r="F86" s="72">
        <f t="shared" si="86"/>
        <v>0</v>
      </c>
      <c r="G86" s="74" t="str">
        <f t="shared" si="75"/>
        <v/>
      </c>
      <c r="H86" s="75" t="str">
        <f t="shared" si="76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7">SUMIF($B$4:$B$70,"MSC",BR4:BR70)</f>
        <v>0</v>
      </c>
      <c r="E87" s="73">
        <f t="shared" si="87"/>
        <v>0</v>
      </c>
      <c r="F87" s="72">
        <f t="shared" si="87"/>
        <v>0</v>
      </c>
      <c r="G87" s="74" t="str">
        <f t="shared" si="75"/>
        <v/>
      </c>
      <c r="H87" s="75" t="str">
        <f t="shared" si="76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8">SUMIF($B$4:$B$70,"Regent",BR4:BR70)</f>
        <v>0</v>
      </c>
      <c r="E88" s="73">
        <f t="shared" si="88"/>
        <v>0</v>
      </c>
      <c r="F88" s="72">
        <f t="shared" si="88"/>
        <v>0</v>
      </c>
      <c r="G88" s="74" t="str">
        <f t="shared" si="75"/>
        <v/>
      </c>
      <c r="H88" s="75" t="str">
        <f t="shared" si="76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9">SUMIF($B$4:$B$70,"Windstar",BR4:BR70)</f>
        <v>0</v>
      </c>
      <c r="E89" s="73">
        <f t="shared" si="89"/>
        <v>0</v>
      </c>
      <c r="F89" s="72">
        <f t="shared" si="89"/>
        <v>0</v>
      </c>
      <c r="G89" s="74" t="str">
        <f t="shared" si="75"/>
        <v/>
      </c>
      <c r="H89" s="75" t="str">
        <f t="shared" si="76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90">SUMIF($B$4:$B$70,"Explora",BR4:BR70)</f>
        <v>0</v>
      </c>
      <c r="E90" s="73">
        <f t="shared" si="90"/>
        <v>0</v>
      </c>
      <c r="F90" s="72">
        <f t="shared" si="90"/>
        <v>0</v>
      </c>
      <c r="G90" s="74" t="str">
        <f t="shared" si="75"/>
        <v/>
      </c>
      <c r="H90" s="75" t="str">
        <f t="shared" si="76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1">SUMIF($B$4:$B$70,"Cunard",BR4:BR70)</f>
        <v>0</v>
      </c>
      <c r="E91" s="80">
        <f t="shared" si="91"/>
        <v>0</v>
      </c>
      <c r="F91" s="79">
        <f t="shared" si="91"/>
        <v>0</v>
      </c>
      <c r="G91" s="81" t="str">
        <f t="shared" si="75"/>
        <v/>
      </c>
      <c r="H91" s="82" t="str">
        <f t="shared" si="76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B93" s="84">
        <f>SUM(B75:B91)</f>
        <v>0</v>
      </c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2">IF(D95=0, "", D95/F95)</f>
        <v/>
      </c>
      <c r="H95" s="91" t="str">
        <f t="shared" ref="H95:H118" si="93">IF(D95=0, "",D95/E95)</f>
        <v/>
      </c>
      <c r="I95" s="92" t="str">
        <f t="shared" ref="I95:I118" si="94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2"/>
        <v/>
      </c>
      <c r="H96" s="91" t="str">
        <f t="shared" si="93"/>
        <v/>
      </c>
      <c r="I96" s="92" t="str">
        <f t="shared" si="94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2"/>
        <v/>
      </c>
      <c r="H97" s="91" t="str">
        <f t="shared" si="93"/>
        <v/>
      </c>
      <c r="I97" s="92" t="str">
        <f t="shared" si="94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2"/>
        <v/>
      </c>
      <c r="H98" s="91" t="str">
        <f t="shared" si="93"/>
        <v/>
      </c>
      <c r="I98" s="92" t="str">
        <f t="shared" si="94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2"/>
        <v/>
      </c>
      <c r="H99" s="91" t="str">
        <f t="shared" si="93"/>
        <v/>
      </c>
      <c r="I99" s="92" t="str">
        <f t="shared" si="94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2"/>
        <v/>
      </c>
      <c r="H100" s="91" t="str">
        <f t="shared" si="93"/>
        <v/>
      </c>
      <c r="I100" s="92" t="str">
        <f t="shared" si="94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2"/>
        <v/>
      </c>
      <c r="H101" s="91" t="str">
        <f t="shared" si="93"/>
        <v/>
      </c>
      <c r="I101" s="92" t="str">
        <f t="shared" si="94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2"/>
        <v/>
      </c>
      <c r="H102" s="91" t="str">
        <f t="shared" si="93"/>
        <v/>
      </c>
      <c r="I102" s="92" t="str">
        <f t="shared" si="94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2"/>
        <v/>
      </c>
      <c r="H103" s="91" t="str">
        <f t="shared" si="93"/>
        <v/>
      </c>
      <c r="I103" s="92" t="str">
        <f t="shared" si="94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2"/>
        <v/>
      </c>
      <c r="H104" s="91" t="str">
        <f t="shared" si="93"/>
        <v/>
      </c>
      <c r="I104" s="92" t="str">
        <f t="shared" si="94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2"/>
        <v/>
      </c>
      <c r="H105" s="91" t="str">
        <f t="shared" si="93"/>
        <v/>
      </c>
      <c r="I105" s="92" t="str">
        <f t="shared" si="94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2"/>
        <v/>
      </c>
      <c r="H106" s="91" t="str">
        <f t="shared" si="93"/>
        <v/>
      </c>
      <c r="I106" s="92" t="str">
        <f t="shared" si="94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2"/>
        <v/>
      </c>
      <c r="H107" s="91" t="str">
        <f t="shared" si="93"/>
        <v/>
      </c>
      <c r="I107" s="92" t="str">
        <f t="shared" si="94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2"/>
        <v/>
      </c>
      <c r="H108" s="91" t="str">
        <f t="shared" si="93"/>
        <v/>
      </c>
      <c r="I108" s="92" t="str">
        <f t="shared" si="94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2"/>
        <v/>
      </c>
      <c r="H109" s="91" t="str">
        <f t="shared" si="93"/>
        <v/>
      </c>
      <c r="I109" s="92" t="str">
        <f t="shared" si="94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2"/>
        <v/>
      </c>
      <c r="H110" s="91" t="str">
        <f t="shared" si="93"/>
        <v/>
      </c>
      <c r="I110" s="92" t="str">
        <f t="shared" si="94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2"/>
        <v/>
      </c>
      <c r="H111" s="91" t="str">
        <f t="shared" si="93"/>
        <v/>
      </c>
      <c r="I111" s="92" t="str">
        <f t="shared" si="94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2"/>
        <v/>
      </c>
      <c r="H112" s="91" t="str">
        <f t="shared" si="93"/>
        <v/>
      </c>
      <c r="I112" s="92" t="str">
        <f t="shared" si="94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2"/>
        <v/>
      </c>
      <c r="H113" s="91" t="str">
        <f t="shared" si="93"/>
        <v/>
      </c>
      <c r="I113" s="92" t="str">
        <f t="shared" si="94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2"/>
        <v/>
      </c>
      <c r="H114" s="91" t="str">
        <f t="shared" si="93"/>
        <v/>
      </c>
      <c r="I114" s="92" t="str">
        <f t="shared" si="94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2"/>
        <v/>
      </c>
      <c r="H115" s="91" t="str">
        <f t="shared" si="93"/>
        <v/>
      </c>
      <c r="I115" s="92" t="str">
        <f t="shared" si="94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2"/>
        <v/>
      </c>
      <c r="H116" s="91" t="str">
        <f t="shared" si="93"/>
        <v/>
      </c>
      <c r="I116" s="92" t="str">
        <f t="shared" si="94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2"/>
        <v/>
      </c>
      <c r="H117" s="91" t="str">
        <f t="shared" si="93"/>
        <v/>
      </c>
      <c r="I117" s="92" t="str">
        <f t="shared" si="94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2"/>
        <v/>
      </c>
      <c r="H118" s="98" t="str">
        <f t="shared" si="93"/>
        <v/>
      </c>
      <c r="I118" s="99" t="str">
        <f t="shared" si="94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autoFilter ref="$B$1:$B$93"/>
  <mergeCells count="34"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11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10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11"/>
    <col customWidth="1" hidden="1" min="27" max="27" width="10.44"/>
    <col customWidth="1" hidden="1" min="28" max="28" width="8.44"/>
    <col customWidth="1" hidden="1" min="29" max="29" width="10.44"/>
    <col customWidth="1" hidden="1" min="30" max="30" width="7.11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11"/>
    <col customWidth="1" hidden="1" min="37" max="37" width="10.44"/>
    <col customWidth="1" hidden="1" min="38" max="38" width="7.11"/>
    <col customWidth="1" hidden="1" min="39" max="39" width="10.44"/>
    <col customWidth="1" hidden="1" min="40" max="40" width="8.44"/>
    <col customWidth="1" hidden="1" min="41" max="41" width="10.44"/>
    <col customWidth="1" hidden="1" min="42" max="42" width="7.11"/>
    <col customWidth="1" hidden="1" min="43" max="43" width="10.44"/>
    <col customWidth="1" hidden="1" min="44" max="44" width="8.44"/>
    <col customWidth="1" hidden="1" min="45" max="45" width="10.44"/>
    <col customWidth="1" hidden="1" min="46" max="46" width="7.11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10.44"/>
    <col customWidth="1" hidden="1" min="52" max="52" width="7.11"/>
    <col customWidth="1" hidden="1" min="53" max="53" width="10.44"/>
    <col customWidth="1" hidden="1" min="54" max="54" width="8.44"/>
    <col customWidth="1" hidden="1" min="55" max="55" width="10.44"/>
    <col customWidth="1" hidden="1" min="56" max="56" width="7.11"/>
    <col customWidth="1" hidden="1" min="57" max="57" width="10.44"/>
    <col customWidth="1" hidden="1" min="58" max="58" width="8.44"/>
    <col customWidth="1" hidden="1" min="59" max="59" width="10.44"/>
    <col customWidth="1" hidden="1" min="60" max="60" width="7.11"/>
    <col customWidth="1" hidden="1" min="61" max="61" width="10.44"/>
    <col customWidth="1" hidden="1" min="62" max="62" width="8.44"/>
    <col customWidth="1" hidden="1" min="63" max="63" width="10.44"/>
    <col customWidth="1" hidden="1" min="64" max="64" width="7.11"/>
    <col customWidth="1" hidden="1" min="65" max="65" width="10.44"/>
    <col customWidth="1" hidden="1" min="66" max="66" width="8.44"/>
    <col customWidth="1" hidden="1" min="67" max="67" width="10.44"/>
    <col customWidth="1" hidden="1" min="68" max="68" width="7.11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01"/>
      <c r="B71" s="47" t="s">
        <v>27</v>
      </c>
      <c r="C71" s="8"/>
      <c r="D71" s="131">
        <f t="shared" ref="D71:BU71" si="71">SUM(D4:D70)</f>
        <v>0</v>
      </c>
      <c r="E71" s="132">
        <f t="shared" si="71"/>
        <v>0</v>
      </c>
      <c r="F71" s="131">
        <f t="shared" si="71"/>
        <v>0</v>
      </c>
      <c r="G71" s="132">
        <f t="shared" si="71"/>
        <v>0</v>
      </c>
      <c r="H71" s="131">
        <f t="shared" si="71"/>
        <v>0</v>
      </c>
      <c r="I71" s="132">
        <f t="shared" si="71"/>
        <v>0</v>
      </c>
      <c r="J71" s="131">
        <f t="shared" si="71"/>
        <v>0</v>
      </c>
      <c r="K71" s="132">
        <f t="shared" si="71"/>
        <v>0</v>
      </c>
      <c r="L71" s="131">
        <f t="shared" si="71"/>
        <v>0</v>
      </c>
      <c r="M71" s="132">
        <f t="shared" si="71"/>
        <v>0</v>
      </c>
      <c r="N71" s="131">
        <f t="shared" si="71"/>
        <v>0</v>
      </c>
      <c r="O71" s="132">
        <f t="shared" si="71"/>
        <v>0</v>
      </c>
      <c r="P71" s="131">
        <f t="shared" si="71"/>
        <v>0</v>
      </c>
      <c r="Q71" s="132">
        <f t="shared" si="71"/>
        <v>0</v>
      </c>
      <c r="R71" s="131">
        <f t="shared" si="71"/>
        <v>0</v>
      </c>
      <c r="S71" s="132">
        <f t="shared" si="71"/>
        <v>0</v>
      </c>
      <c r="T71" s="131">
        <f t="shared" si="71"/>
        <v>0</v>
      </c>
      <c r="U71" s="132">
        <f t="shared" si="71"/>
        <v>0</v>
      </c>
      <c r="V71" s="131">
        <f t="shared" si="71"/>
        <v>0</v>
      </c>
      <c r="W71" s="132">
        <f t="shared" si="71"/>
        <v>0</v>
      </c>
      <c r="X71" s="133">
        <f t="shared" si="71"/>
        <v>0</v>
      </c>
      <c r="Y71" s="134">
        <f t="shared" si="71"/>
        <v>0</v>
      </c>
      <c r="Z71" s="133">
        <f t="shared" si="71"/>
        <v>0</v>
      </c>
      <c r="AA71" s="134">
        <f t="shared" si="71"/>
        <v>0</v>
      </c>
      <c r="AB71" s="133">
        <f t="shared" si="71"/>
        <v>0</v>
      </c>
      <c r="AC71" s="134">
        <f t="shared" si="71"/>
        <v>0</v>
      </c>
      <c r="AD71" s="133">
        <f t="shared" si="71"/>
        <v>0</v>
      </c>
      <c r="AE71" s="134">
        <f t="shared" si="71"/>
        <v>0</v>
      </c>
      <c r="AF71" s="133">
        <f t="shared" si="71"/>
        <v>0</v>
      </c>
      <c r="AG71" s="134">
        <f t="shared" si="71"/>
        <v>0</v>
      </c>
      <c r="AH71" s="133">
        <f t="shared" si="71"/>
        <v>0</v>
      </c>
      <c r="AI71" s="134">
        <f t="shared" si="71"/>
        <v>0</v>
      </c>
      <c r="AJ71" s="133">
        <f t="shared" si="71"/>
        <v>0</v>
      </c>
      <c r="AK71" s="134">
        <f t="shared" si="71"/>
        <v>0</v>
      </c>
      <c r="AL71" s="133">
        <f t="shared" si="71"/>
        <v>0</v>
      </c>
      <c r="AM71" s="134">
        <f t="shared" si="71"/>
        <v>0</v>
      </c>
      <c r="AN71" s="133">
        <f t="shared" si="71"/>
        <v>0</v>
      </c>
      <c r="AO71" s="134">
        <f t="shared" si="71"/>
        <v>0</v>
      </c>
      <c r="AP71" s="133">
        <f t="shared" si="71"/>
        <v>0</v>
      </c>
      <c r="AQ71" s="134">
        <f t="shared" si="71"/>
        <v>0</v>
      </c>
      <c r="AR71" s="133">
        <f t="shared" si="71"/>
        <v>0</v>
      </c>
      <c r="AS71" s="134">
        <f t="shared" si="71"/>
        <v>0</v>
      </c>
      <c r="AT71" s="133">
        <f t="shared" si="71"/>
        <v>0</v>
      </c>
      <c r="AU71" s="134">
        <f t="shared" si="71"/>
        <v>0</v>
      </c>
      <c r="AV71" s="133">
        <f t="shared" si="71"/>
        <v>0</v>
      </c>
      <c r="AW71" s="134">
        <f t="shared" si="71"/>
        <v>0</v>
      </c>
      <c r="AX71" s="133">
        <f t="shared" si="71"/>
        <v>0</v>
      </c>
      <c r="AY71" s="135">
        <f t="shared" si="71"/>
        <v>0</v>
      </c>
      <c r="AZ71" s="136">
        <f t="shared" si="71"/>
        <v>0</v>
      </c>
      <c r="BA71" s="137">
        <f t="shared" si="71"/>
        <v>0</v>
      </c>
      <c r="BB71" s="136">
        <f t="shared" si="71"/>
        <v>0</v>
      </c>
      <c r="BC71" s="137">
        <f t="shared" si="71"/>
        <v>0</v>
      </c>
      <c r="BD71" s="136">
        <f t="shared" si="71"/>
        <v>0</v>
      </c>
      <c r="BE71" s="137">
        <f t="shared" si="71"/>
        <v>0</v>
      </c>
      <c r="BF71" s="136">
        <f t="shared" si="71"/>
        <v>0</v>
      </c>
      <c r="BG71" s="137">
        <f t="shared" si="71"/>
        <v>0</v>
      </c>
      <c r="BH71" s="136">
        <f t="shared" si="71"/>
        <v>0</v>
      </c>
      <c r="BI71" s="137">
        <f t="shared" si="71"/>
        <v>0</v>
      </c>
      <c r="BJ71" s="136">
        <f t="shared" si="71"/>
        <v>0</v>
      </c>
      <c r="BK71" s="137">
        <f t="shared" si="71"/>
        <v>0</v>
      </c>
      <c r="BL71" s="136">
        <f t="shared" si="71"/>
        <v>0</v>
      </c>
      <c r="BM71" s="137">
        <f t="shared" si="71"/>
        <v>0</v>
      </c>
      <c r="BN71" s="136">
        <f t="shared" si="71"/>
        <v>0</v>
      </c>
      <c r="BO71" s="137">
        <f t="shared" si="71"/>
        <v>0</v>
      </c>
      <c r="BP71" s="136">
        <f t="shared" si="71"/>
        <v>0</v>
      </c>
      <c r="BQ71" s="137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38">
        <f t="shared" si="71"/>
        <v>0</v>
      </c>
      <c r="BU71" s="138">
        <f t="shared" si="71"/>
        <v>0</v>
      </c>
      <c r="BV71" s="139" t="str">
        <f>BR71/BT71</f>
        <v>#VALUE!</v>
      </c>
      <c r="BW71" s="140" t="str">
        <f>BR71/BS71</f>
        <v>#VALUE!</v>
      </c>
      <c r="BX71" s="140" t="str">
        <f>BR71/BU71</f>
        <v>#VALUE!</v>
      </c>
    </row>
    <row r="72" ht="16.5" customHeight="1">
      <c r="A72" s="10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B93" s="84">
        <f>SUM(B75:B87)</f>
        <v>0</v>
      </c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33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10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33"/>
    <col customWidth="1" hidden="1" min="27" max="27" width="10.44"/>
    <col customWidth="1" hidden="1" min="28" max="28" width="8.44"/>
    <col customWidth="1" hidden="1" min="29" max="29" width="10.44"/>
    <col customWidth="1" hidden="1" min="30" max="30" width="7.33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33"/>
    <col customWidth="1" hidden="1" min="37" max="37" width="10.44"/>
    <col customWidth="1" hidden="1" min="38" max="38" width="7.33"/>
    <col customWidth="1" hidden="1" min="39" max="39" width="10.44"/>
    <col customWidth="1" hidden="1" min="40" max="40" width="8.44"/>
    <col customWidth="1" hidden="1" min="41" max="41" width="10.44"/>
    <col customWidth="1" hidden="1" min="42" max="42" width="7.33"/>
    <col customWidth="1" hidden="1" min="43" max="43" width="10.44"/>
    <col customWidth="1" hidden="1" min="44" max="44" width="8.44"/>
    <col customWidth="1" hidden="1" min="45" max="45" width="10.44"/>
    <col customWidth="1" hidden="1" min="46" max="46" width="7.33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10.44"/>
    <col customWidth="1" hidden="1" min="52" max="52" width="7.33"/>
    <col customWidth="1" hidden="1" min="53" max="53" width="10.44"/>
    <col customWidth="1" hidden="1" min="54" max="54" width="8.44"/>
    <col customWidth="1" hidden="1" min="55" max="55" width="10.44"/>
    <col customWidth="1" hidden="1" min="56" max="56" width="7.33"/>
    <col customWidth="1" hidden="1" min="57" max="57" width="10.44"/>
    <col customWidth="1" hidden="1" min="58" max="58" width="8.44"/>
    <col customWidth="1" hidden="1" min="59" max="59" width="10.44"/>
    <col customWidth="1" hidden="1" min="60" max="60" width="7.33"/>
    <col customWidth="1" hidden="1" min="61" max="61" width="10.44"/>
    <col customWidth="1" hidden="1" min="62" max="62" width="8.44"/>
    <col customWidth="1" hidden="1" min="63" max="63" width="10.44"/>
    <col customWidth="1" hidden="1" min="64" max="64" width="7.33"/>
    <col customWidth="1" hidden="1" min="65" max="65" width="10.44"/>
    <col customWidth="1" hidden="1" min="66" max="66" width="8.44"/>
    <col customWidth="1" hidden="1" min="67" max="67" width="10.44"/>
    <col customWidth="1" hidden="1" min="68" max="68" width="7.33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01"/>
      <c r="B71" s="47" t="s">
        <v>27</v>
      </c>
      <c r="C71" s="8"/>
      <c r="D71" s="131">
        <f t="shared" ref="D71:BU71" si="71">SUM(D4:D70)</f>
        <v>0</v>
      </c>
      <c r="E71" s="132">
        <f t="shared" si="71"/>
        <v>0</v>
      </c>
      <c r="F71" s="131">
        <f t="shared" si="71"/>
        <v>0</v>
      </c>
      <c r="G71" s="132">
        <f t="shared" si="71"/>
        <v>0</v>
      </c>
      <c r="H71" s="131">
        <f t="shared" si="71"/>
        <v>0</v>
      </c>
      <c r="I71" s="132">
        <f t="shared" si="71"/>
        <v>0</v>
      </c>
      <c r="J71" s="131">
        <f t="shared" si="71"/>
        <v>0</v>
      </c>
      <c r="K71" s="132">
        <f t="shared" si="71"/>
        <v>0</v>
      </c>
      <c r="L71" s="131">
        <f t="shared" si="71"/>
        <v>0</v>
      </c>
      <c r="M71" s="132">
        <f t="shared" si="71"/>
        <v>0</v>
      </c>
      <c r="N71" s="131">
        <f t="shared" si="71"/>
        <v>0</v>
      </c>
      <c r="O71" s="132">
        <f t="shared" si="71"/>
        <v>0</v>
      </c>
      <c r="P71" s="131">
        <f t="shared" si="71"/>
        <v>0</v>
      </c>
      <c r="Q71" s="132">
        <f t="shared" si="71"/>
        <v>0</v>
      </c>
      <c r="R71" s="131">
        <f t="shared" si="71"/>
        <v>0</v>
      </c>
      <c r="S71" s="132">
        <f t="shared" si="71"/>
        <v>0</v>
      </c>
      <c r="T71" s="131">
        <f t="shared" si="71"/>
        <v>0</v>
      </c>
      <c r="U71" s="132">
        <f t="shared" si="71"/>
        <v>0</v>
      </c>
      <c r="V71" s="131">
        <f t="shared" si="71"/>
        <v>0</v>
      </c>
      <c r="W71" s="132">
        <f t="shared" si="71"/>
        <v>0</v>
      </c>
      <c r="X71" s="133">
        <f t="shared" si="71"/>
        <v>0</v>
      </c>
      <c r="Y71" s="134">
        <f t="shared" si="71"/>
        <v>0</v>
      </c>
      <c r="Z71" s="133">
        <f t="shared" si="71"/>
        <v>0</v>
      </c>
      <c r="AA71" s="134">
        <f t="shared" si="71"/>
        <v>0</v>
      </c>
      <c r="AB71" s="133">
        <f t="shared" si="71"/>
        <v>0</v>
      </c>
      <c r="AC71" s="134">
        <f t="shared" si="71"/>
        <v>0</v>
      </c>
      <c r="AD71" s="133">
        <f t="shared" si="71"/>
        <v>0</v>
      </c>
      <c r="AE71" s="134">
        <f t="shared" si="71"/>
        <v>0</v>
      </c>
      <c r="AF71" s="133">
        <f t="shared" si="71"/>
        <v>0</v>
      </c>
      <c r="AG71" s="134">
        <f t="shared" si="71"/>
        <v>0</v>
      </c>
      <c r="AH71" s="133">
        <f t="shared" si="71"/>
        <v>0</v>
      </c>
      <c r="AI71" s="134">
        <f t="shared" si="71"/>
        <v>0</v>
      </c>
      <c r="AJ71" s="133">
        <f t="shared" si="71"/>
        <v>0</v>
      </c>
      <c r="AK71" s="134">
        <f t="shared" si="71"/>
        <v>0</v>
      </c>
      <c r="AL71" s="133">
        <f t="shared" si="71"/>
        <v>0</v>
      </c>
      <c r="AM71" s="134">
        <f t="shared" si="71"/>
        <v>0</v>
      </c>
      <c r="AN71" s="133">
        <f t="shared" si="71"/>
        <v>0</v>
      </c>
      <c r="AO71" s="134">
        <f t="shared" si="71"/>
        <v>0</v>
      </c>
      <c r="AP71" s="133">
        <f t="shared" si="71"/>
        <v>0</v>
      </c>
      <c r="AQ71" s="134">
        <f t="shared" si="71"/>
        <v>0</v>
      </c>
      <c r="AR71" s="133">
        <f t="shared" si="71"/>
        <v>0</v>
      </c>
      <c r="AS71" s="134">
        <f t="shared" si="71"/>
        <v>0</v>
      </c>
      <c r="AT71" s="133">
        <f t="shared" si="71"/>
        <v>0</v>
      </c>
      <c r="AU71" s="134">
        <f t="shared" si="71"/>
        <v>0</v>
      </c>
      <c r="AV71" s="133">
        <f t="shared" si="71"/>
        <v>0</v>
      </c>
      <c r="AW71" s="134">
        <f t="shared" si="71"/>
        <v>0</v>
      </c>
      <c r="AX71" s="133">
        <f t="shared" si="71"/>
        <v>0</v>
      </c>
      <c r="AY71" s="135">
        <f t="shared" si="71"/>
        <v>0</v>
      </c>
      <c r="AZ71" s="136">
        <f t="shared" si="71"/>
        <v>0</v>
      </c>
      <c r="BA71" s="137">
        <f t="shared" si="71"/>
        <v>0</v>
      </c>
      <c r="BB71" s="136">
        <f t="shared" si="71"/>
        <v>0</v>
      </c>
      <c r="BC71" s="137">
        <f t="shared" si="71"/>
        <v>0</v>
      </c>
      <c r="BD71" s="136">
        <f t="shared" si="71"/>
        <v>0</v>
      </c>
      <c r="BE71" s="137">
        <f t="shared" si="71"/>
        <v>0</v>
      </c>
      <c r="BF71" s="136">
        <f t="shared" si="71"/>
        <v>0</v>
      </c>
      <c r="BG71" s="137">
        <f t="shared" si="71"/>
        <v>0</v>
      </c>
      <c r="BH71" s="136">
        <f t="shared" si="71"/>
        <v>0</v>
      </c>
      <c r="BI71" s="137">
        <f t="shared" si="71"/>
        <v>0</v>
      </c>
      <c r="BJ71" s="136">
        <f t="shared" si="71"/>
        <v>0</v>
      </c>
      <c r="BK71" s="137">
        <f t="shared" si="71"/>
        <v>0</v>
      </c>
      <c r="BL71" s="136">
        <f t="shared" si="71"/>
        <v>0</v>
      </c>
      <c r="BM71" s="137">
        <f t="shared" si="71"/>
        <v>0</v>
      </c>
      <c r="BN71" s="136">
        <f t="shared" si="71"/>
        <v>0</v>
      </c>
      <c r="BO71" s="137">
        <f t="shared" si="71"/>
        <v>0</v>
      </c>
      <c r="BP71" s="136">
        <f t="shared" si="71"/>
        <v>0</v>
      </c>
      <c r="BQ71" s="137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38">
        <f t="shared" si="71"/>
        <v>0</v>
      </c>
      <c r="BU71" s="138">
        <f t="shared" si="71"/>
        <v>0</v>
      </c>
      <c r="BV71" s="139" t="str">
        <f>BR71/BT71</f>
        <v>#VALUE!</v>
      </c>
      <c r="BW71" s="140" t="str">
        <f>BR71/BS71</f>
        <v>#VALUE!</v>
      </c>
      <c r="BX71" s="140" t="str">
        <f>BR71/BU71</f>
        <v>#VALUE!</v>
      </c>
    </row>
    <row r="72" ht="16.5" customHeight="1">
      <c r="A72" s="1"/>
      <c r="B72" s="141"/>
      <c r="C72" s="141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1"/>
      <c r="BS72" s="141"/>
      <c r="BT72" s="142"/>
      <c r="BU72" s="142"/>
      <c r="BV72" s="142"/>
      <c r="BW72" s="142"/>
    </row>
    <row r="73" ht="12.0" customHeight="1">
      <c r="A73" s="1"/>
      <c r="B73" s="3"/>
      <c r="C73" s="3"/>
      <c r="D73" s="143"/>
      <c r="E73" s="2"/>
      <c r="F73" s="143"/>
      <c r="G73" s="2"/>
      <c r="H73" s="143"/>
      <c r="J73" s="144"/>
      <c r="L73" s="144"/>
      <c r="N73" s="144"/>
      <c r="P73" s="144"/>
      <c r="R73" s="144"/>
      <c r="T73" s="144"/>
      <c r="V73" s="144"/>
      <c r="X73" s="144"/>
      <c r="Z73" s="144"/>
      <c r="AB73" s="144"/>
      <c r="AD73" s="144"/>
      <c r="AF73" s="144"/>
      <c r="AH73" s="144"/>
      <c r="AJ73" s="144"/>
      <c r="AL73" s="144"/>
      <c r="AN73" s="144"/>
      <c r="AP73" s="144"/>
      <c r="AR73" s="144"/>
      <c r="AT73" s="144"/>
      <c r="AV73" s="144"/>
      <c r="AX73" s="144"/>
      <c r="AZ73" s="144"/>
      <c r="BB73" s="144"/>
      <c r="BD73" s="144"/>
      <c r="BF73" s="144"/>
      <c r="BH73" s="144"/>
      <c r="BJ73" s="144"/>
      <c r="BL73" s="144"/>
      <c r="BN73" s="144"/>
      <c r="BP73" s="144"/>
      <c r="BR73" s="145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B93" s="84">
        <f>SUM(B75:B90)</f>
        <v>0</v>
      </c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10.44"/>
    <col customWidth="1" min="10" max="10" width="8.44"/>
    <col customWidth="1" min="11" max="11" width="10.44"/>
    <col customWidth="1" min="12" max="12" width="8.44"/>
    <col customWidth="1" min="13" max="13" width="10.44"/>
    <col customWidth="1" min="14" max="14" width="8.44"/>
    <col customWidth="1" min="15" max="15" width="10.44"/>
    <col customWidth="1" min="16" max="16" width="7.33"/>
    <col customWidth="1" min="17" max="17" width="10.44"/>
    <col customWidth="1" min="18" max="18" width="8.44"/>
    <col customWidth="1" min="19" max="19" width="10.44"/>
    <col customWidth="1" min="20" max="20" width="8.44"/>
    <col customWidth="1" min="21" max="21" width="10.44"/>
    <col customWidth="1" min="22" max="22" width="10.67"/>
    <col customWidth="1" min="23" max="23" width="10.44"/>
    <col customWidth="1" hidden="1" min="24" max="24" width="8.44"/>
    <col customWidth="1" hidden="1" min="25" max="25" width="10.44"/>
    <col customWidth="1" hidden="1" min="26" max="26" width="7.33"/>
    <col customWidth="1" hidden="1" min="27" max="27" width="10.44"/>
    <col customWidth="1" hidden="1" min="28" max="28" width="8.44"/>
    <col customWidth="1" hidden="1" min="29" max="29" width="10.44"/>
    <col customWidth="1" hidden="1" min="30" max="30" width="7.33"/>
    <col customWidth="1" hidden="1" min="31" max="31" width="10.44"/>
    <col customWidth="1" hidden="1" min="32" max="32" width="8.44"/>
    <col customWidth="1" hidden="1" min="33" max="33" width="10.44"/>
    <col customWidth="1" hidden="1" min="34" max="34" width="8.44"/>
    <col customWidth="1" hidden="1" min="35" max="35" width="10.44"/>
    <col customWidth="1" hidden="1" min="36" max="36" width="7.33"/>
    <col customWidth="1" hidden="1" min="37" max="37" width="10.44"/>
    <col customWidth="1" hidden="1" min="38" max="38" width="7.33"/>
    <col customWidth="1" hidden="1" min="39" max="39" width="10.44"/>
    <col customWidth="1" hidden="1" min="40" max="40" width="8.44"/>
    <col customWidth="1" hidden="1" min="41" max="41" width="10.44"/>
    <col customWidth="1" hidden="1" min="42" max="42" width="7.33"/>
    <col customWidth="1" hidden="1" min="43" max="43" width="10.44"/>
    <col customWidth="1" hidden="1" min="44" max="44" width="8.44"/>
    <col customWidth="1" hidden="1" min="45" max="45" width="10.44"/>
    <col customWidth="1" hidden="1" min="46" max="46" width="7.33"/>
    <col customWidth="1" hidden="1" min="47" max="47" width="10.44"/>
    <col customWidth="1" hidden="1" min="48" max="48" width="8.44"/>
    <col customWidth="1" hidden="1" min="49" max="49" width="10.44"/>
    <col customWidth="1" hidden="1" min="50" max="50" width="8.44"/>
    <col customWidth="1" hidden="1" min="51" max="51" width="10.44"/>
    <col customWidth="1" hidden="1" min="52" max="52" width="7.33"/>
    <col customWidth="1" hidden="1" min="53" max="53" width="10.44"/>
    <col customWidth="1" hidden="1" min="54" max="54" width="8.44"/>
    <col customWidth="1" hidden="1" min="55" max="55" width="10.44"/>
    <col customWidth="1" hidden="1" min="56" max="56" width="7.33"/>
    <col customWidth="1" hidden="1" min="57" max="57" width="10.44"/>
    <col customWidth="1" hidden="1" min="58" max="58" width="8.44"/>
    <col customWidth="1" hidden="1" min="59" max="59" width="10.44"/>
    <col customWidth="1" hidden="1" min="60" max="60" width="7.33"/>
    <col customWidth="1" hidden="1" min="61" max="61" width="10.44"/>
    <col customWidth="1" hidden="1" min="62" max="62" width="8.44"/>
    <col customWidth="1" hidden="1" min="63" max="63" width="10.44"/>
    <col customWidth="1" hidden="1" min="64" max="64" width="7.33"/>
    <col customWidth="1" hidden="1" min="65" max="65" width="10.44"/>
    <col customWidth="1" hidden="1" min="66" max="66" width="8.44"/>
    <col customWidth="1" hidden="1" min="67" max="67" width="10.44"/>
    <col customWidth="1" hidden="1" min="68" max="68" width="7.33"/>
    <col customWidth="1" hidden="1" min="69" max="69" width="10.44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Q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3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>
        <f>D71+F71+H71+J71+L71+N71+V71+X71+Z71+AB71+AD71+AF71+AZ71+BB71+BD71+BF71+BH71+AH71+P71+R71+AJ71+BJ71+AL71+AN71+AP71+AR71+AT71+AX71+AV71+BL71+T71</f>
        <v>0</v>
      </c>
      <c r="BS71" s="57">
        <f>E71+G71+I71+K71+M71+O71+W71+Y71+AA71+AC71+AE71+AG71+BA71+BC71+BE71+BG71+BI71+AI71+Q71+S71+AK71+BK71+AM71+AO71+AQ71+AS71+AU71+AY71</f>
        <v>0</v>
      </c>
      <c r="BT71" s="146">
        <f t="shared" ref="BT71:BU71" si="72">SUM(BT4:BT70)</f>
        <v>0</v>
      </c>
      <c r="BU71" s="146">
        <f t="shared" si="72"/>
        <v>0</v>
      </c>
      <c r="BV71" s="59" t="str">
        <f>BR71/BT71</f>
        <v>#DIV/0!</v>
      </c>
      <c r="BW71" s="123" t="str">
        <f>BR71/BS71</f>
        <v>#DIV/0!</v>
      </c>
      <c r="BX71" s="123" t="str">
        <f>BR71/BU71</f>
        <v>#DIV/0!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3">SUMIF($B$4:$B$70,"RCL",BR4:BR70)</f>
        <v>0</v>
      </c>
      <c r="E75" s="68">
        <f t="shared" si="73"/>
        <v>0</v>
      </c>
      <c r="F75" s="67">
        <f t="shared" si="73"/>
        <v>0</v>
      </c>
      <c r="G75" s="69" t="str">
        <f t="shared" ref="G75:G91" si="75">IF(D75=0, "", D75/F75)</f>
        <v/>
      </c>
      <c r="H75" s="70" t="str">
        <f t="shared" ref="H75:H91" si="76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4">SUMIF($B$4:$B$70,"NCL",BR4:BR70)</f>
        <v>0</v>
      </c>
      <c r="E76" s="73">
        <f t="shared" si="74"/>
        <v>0</v>
      </c>
      <c r="F76" s="72">
        <f t="shared" si="74"/>
        <v>0</v>
      </c>
      <c r="G76" s="74" t="str">
        <f t="shared" si="75"/>
        <v/>
      </c>
      <c r="H76" s="75" t="str">
        <f t="shared" si="76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7">SUMIF($B$4:$B$70,"DCL",BR4:BR70)</f>
        <v>0</v>
      </c>
      <c r="E77" s="73">
        <f t="shared" si="77"/>
        <v>0</v>
      </c>
      <c r="F77" s="72">
        <f t="shared" si="77"/>
        <v>0</v>
      </c>
      <c r="G77" s="74" t="str">
        <f t="shared" si="75"/>
        <v/>
      </c>
      <c r="H77" s="75" t="str">
        <f t="shared" si="76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8">SUMIF($B$4:$B$70,"CEL",BR4:BR70)</f>
        <v>0</v>
      </c>
      <c r="E78" s="73">
        <f t="shared" si="78"/>
        <v>0</v>
      </c>
      <c r="F78" s="72">
        <f t="shared" si="78"/>
        <v>0</v>
      </c>
      <c r="G78" s="74" t="str">
        <f t="shared" si="75"/>
        <v/>
      </c>
      <c r="H78" s="75" t="str">
        <f t="shared" si="76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9">SUMIF($B$4:$B$70,"CCL",BR4:BR70)</f>
        <v>0</v>
      </c>
      <c r="E79" s="73">
        <f t="shared" si="79"/>
        <v>0</v>
      </c>
      <c r="F79" s="72">
        <f t="shared" si="79"/>
        <v>0</v>
      </c>
      <c r="G79" s="74" t="str">
        <f t="shared" si="75"/>
        <v/>
      </c>
      <c r="H79" s="75" t="str">
        <f t="shared" si="76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80">SUMIF($B$4:$B$70,"PCL",BR4:BR70)</f>
        <v>0</v>
      </c>
      <c r="E80" s="73">
        <f t="shared" si="80"/>
        <v>0</v>
      </c>
      <c r="F80" s="72">
        <f t="shared" si="80"/>
        <v>0</v>
      </c>
      <c r="G80" s="74" t="str">
        <f t="shared" si="75"/>
        <v/>
      </c>
      <c r="H80" s="75" t="str">
        <f t="shared" si="76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1">SUMIF($B$4:$B$70,"HAL",BR4:BR70)</f>
        <v>0</v>
      </c>
      <c r="E81" s="73">
        <f t="shared" si="81"/>
        <v>0</v>
      </c>
      <c r="F81" s="72">
        <f t="shared" si="81"/>
        <v>0</v>
      </c>
      <c r="G81" s="74" t="str">
        <f t="shared" si="75"/>
        <v/>
      </c>
      <c r="H81" s="75" t="str">
        <f t="shared" si="76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2">SUMIF($B$4:$B$70,"Silver",BR4:BR70)</f>
        <v>0</v>
      </c>
      <c r="E82" s="73">
        <f t="shared" si="82"/>
        <v>0</v>
      </c>
      <c r="F82" s="72">
        <f t="shared" si="82"/>
        <v>0</v>
      </c>
      <c r="G82" s="74" t="str">
        <f t="shared" si="75"/>
        <v/>
      </c>
      <c r="H82" s="75" t="str">
        <f t="shared" si="76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3">SUMIF($B$4:$B$70,"Viking",BR4:BR70)</f>
        <v>0</v>
      </c>
      <c r="E83" s="73">
        <f t="shared" si="83"/>
        <v>0</v>
      </c>
      <c r="F83" s="72">
        <f t="shared" si="83"/>
        <v>0</v>
      </c>
      <c r="G83" s="74" t="str">
        <f t="shared" si="75"/>
        <v/>
      </c>
      <c r="H83" s="75" t="str">
        <f t="shared" si="76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4">SUMIF($B$4:$B$70,"Azamara",BR4:BR70)</f>
        <v>0</v>
      </c>
      <c r="E84" s="73">
        <f t="shared" si="84"/>
        <v>0</v>
      </c>
      <c r="F84" s="72">
        <f t="shared" si="84"/>
        <v>0</v>
      </c>
      <c r="G84" s="74" t="str">
        <f t="shared" si="75"/>
        <v/>
      </c>
      <c r="H84" s="75" t="str">
        <f t="shared" si="76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5">SUMIF($B$4:$B$70,"TUI",BR4:BR70)</f>
        <v>0</v>
      </c>
      <c r="E85" s="73">
        <f t="shared" si="85"/>
        <v>0</v>
      </c>
      <c r="F85" s="72">
        <f t="shared" si="85"/>
        <v>0</v>
      </c>
      <c r="G85" s="74" t="str">
        <f t="shared" si="75"/>
        <v/>
      </c>
      <c r="H85" s="75" t="str">
        <f t="shared" si="76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6">SUMIF($B$4:$B$70,"Marella",BR4:BR70)</f>
        <v>0</v>
      </c>
      <c r="E86" s="73">
        <f t="shared" si="86"/>
        <v>0</v>
      </c>
      <c r="F86" s="72">
        <f t="shared" si="86"/>
        <v>0</v>
      </c>
      <c r="G86" s="74" t="str">
        <f t="shared" si="75"/>
        <v/>
      </c>
      <c r="H86" s="75" t="str">
        <f t="shared" si="76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7">SUMIF($B$4:$B$70,"MSC",BR4:BR70)</f>
        <v>0</v>
      </c>
      <c r="E87" s="73">
        <f t="shared" si="87"/>
        <v>0</v>
      </c>
      <c r="F87" s="72">
        <f t="shared" si="87"/>
        <v>0</v>
      </c>
      <c r="G87" s="74" t="str">
        <f t="shared" si="75"/>
        <v/>
      </c>
      <c r="H87" s="75" t="str">
        <f t="shared" si="76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8">SUMIF($B$4:$B$70,"Regent",BR4:BR70)</f>
        <v>0</v>
      </c>
      <c r="E88" s="73">
        <f t="shared" si="88"/>
        <v>0</v>
      </c>
      <c r="F88" s="72">
        <f t="shared" si="88"/>
        <v>0</v>
      </c>
      <c r="G88" s="74" t="str">
        <f t="shared" si="75"/>
        <v/>
      </c>
      <c r="H88" s="75" t="str">
        <f t="shared" si="76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9">SUMIF($B$4:$B$70,"Windstar",BR4:BR70)</f>
        <v>0</v>
      </c>
      <c r="E89" s="73">
        <f t="shared" si="89"/>
        <v>0</v>
      </c>
      <c r="F89" s="72">
        <f t="shared" si="89"/>
        <v>0</v>
      </c>
      <c r="G89" s="74" t="str">
        <f t="shared" si="75"/>
        <v/>
      </c>
      <c r="H89" s="75" t="str">
        <f t="shared" si="76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90">SUMIF($B$4:$B$70,"Explora",BR4:BR70)</f>
        <v>0</v>
      </c>
      <c r="E90" s="73">
        <f t="shared" si="90"/>
        <v>0</v>
      </c>
      <c r="F90" s="72">
        <f t="shared" si="90"/>
        <v>0</v>
      </c>
      <c r="G90" s="74" t="str">
        <f t="shared" si="75"/>
        <v/>
      </c>
      <c r="H90" s="75" t="str">
        <f t="shared" si="76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1">SUMIF($B$4:$B$70,"Cunard",BR4:BR70)</f>
        <v>0</v>
      </c>
      <c r="E91" s="80">
        <f t="shared" si="91"/>
        <v>0</v>
      </c>
      <c r="F91" s="79">
        <f t="shared" si="91"/>
        <v>0</v>
      </c>
      <c r="G91" s="81" t="str">
        <f t="shared" si="75"/>
        <v/>
      </c>
      <c r="H91" s="82" t="str">
        <f t="shared" si="76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2">IF(D95=0, "", D95/F95)</f>
        <v/>
      </c>
      <c r="H95" s="91" t="str">
        <f t="shared" ref="H95:H118" si="93">IF(D95=0, "",D95/E95)</f>
        <v/>
      </c>
      <c r="I95" s="92" t="str">
        <f t="shared" ref="I95:I118" si="94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2"/>
        <v/>
      </c>
      <c r="H96" s="91" t="str">
        <f t="shared" si="93"/>
        <v/>
      </c>
      <c r="I96" s="92" t="str">
        <f t="shared" si="94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2"/>
        <v/>
      </c>
      <c r="H97" s="91" t="str">
        <f t="shared" si="93"/>
        <v/>
      </c>
      <c r="I97" s="92" t="str">
        <f t="shared" si="94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2"/>
        <v/>
      </c>
      <c r="H98" s="91" t="str">
        <f t="shared" si="93"/>
        <v/>
      </c>
      <c r="I98" s="92" t="str">
        <f t="shared" si="94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2"/>
        <v/>
      </c>
      <c r="H99" s="91" t="str">
        <f t="shared" si="93"/>
        <v/>
      </c>
      <c r="I99" s="92" t="str">
        <f t="shared" si="94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2"/>
        <v/>
      </c>
      <c r="H100" s="91" t="str">
        <f t="shared" si="93"/>
        <v/>
      </c>
      <c r="I100" s="92" t="str">
        <f t="shared" si="94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2"/>
        <v/>
      </c>
      <c r="H101" s="91" t="str">
        <f t="shared" si="93"/>
        <v/>
      </c>
      <c r="I101" s="92" t="str">
        <f t="shared" si="94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2"/>
        <v/>
      </c>
      <c r="H102" s="91" t="str">
        <f t="shared" si="93"/>
        <v/>
      </c>
      <c r="I102" s="92" t="str">
        <f t="shared" si="94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2"/>
        <v/>
      </c>
      <c r="H103" s="91" t="str">
        <f t="shared" si="93"/>
        <v/>
      </c>
      <c r="I103" s="92" t="str">
        <f t="shared" si="94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2"/>
        <v/>
      </c>
      <c r="H104" s="91" t="str">
        <f t="shared" si="93"/>
        <v/>
      </c>
      <c r="I104" s="92" t="str">
        <f t="shared" si="94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2"/>
        <v/>
      </c>
      <c r="H105" s="91" t="str">
        <f t="shared" si="93"/>
        <v/>
      </c>
      <c r="I105" s="92" t="str">
        <f t="shared" si="94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2"/>
        <v/>
      </c>
      <c r="H106" s="91" t="str">
        <f t="shared" si="93"/>
        <v/>
      </c>
      <c r="I106" s="92" t="str">
        <f t="shared" si="94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2"/>
        <v/>
      </c>
      <c r="H107" s="91" t="str">
        <f t="shared" si="93"/>
        <v/>
      </c>
      <c r="I107" s="92" t="str">
        <f t="shared" si="94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2"/>
        <v/>
      </c>
      <c r="H108" s="91" t="str">
        <f t="shared" si="93"/>
        <v/>
      </c>
      <c r="I108" s="92" t="str">
        <f t="shared" si="94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2"/>
        <v/>
      </c>
      <c r="H109" s="91" t="str">
        <f t="shared" si="93"/>
        <v/>
      </c>
      <c r="I109" s="92" t="str">
        <f t="shared" si="94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2"/>
        <v/>
      </c>
      <c r="H110" s="91" t="str">
        <f t="shared" si="93"/>
        <v/>
      </c>
      <c r="I110" s="92" t="str">
        <f t="shared" si="94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2"/>
        <v/>
      </c>
      <c r="H111" s="91" t="str">
        <f t="shared" si="93"/>
        <v/>
      </c>
      <c r="I111" s="92" t="str">
        <f t="shared" si="94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2"/>
        <v/>
      </c>
      <c r="H112" s="91" t="str">
        <f t="shared" si="93"/>
        <v/>
      </c>
      <c r="I112" s="92" t="str">
        <f t="shared" si="94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2"/>
        <v/>
      </c>
      <c r="H113" s="91" t="str">
        <f t="shared" si="93"/>
        <v/>
      </c>
      <c r="I113" s="92" t="str">
        <f t="shared" si="94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2"/>
        <v/>
      </c>
      <c r="H114" s="91" t="str">
        <f t="shared" si="93"/>
        <v/>
      </c>
      <c r="I114" s="92" t="str">
        <f t="shared" si="94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2"/>
        <v/>
      </c>
      <c r="H115" s="91" t="str">
        <f t="shared" si="93"/>
        <v/>
      </c>
      <c r="I115" s="92" t="str">
        <f t="shared" si="94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2"/>
        <v/>
      </c>
      <c r="H116" s="91" t="str">
        <f t="shared" si="93"/>
        <v/>
      </c>
      <c r="I116" s="92" t="str">
        <f t="shared" si="94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2"/>
        <v/>
      </c>
      <c r="H117" s="91" t="str">
        <f t="shared" si="93"/>
        <v/>
      </c>
      <c r="I117" s="92" t="str">
        <f t="shared" si="94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2"/>
        <v/>
      </c>
      <c r="H118" s="98" t="str">
        <f t="shared" si="93"/>
        <v/>
      </c>
      <c r="I118" s="99" t="str">
        <f t="shared" si="94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7.11"/>
    <col customWidth="1" min="10" max="10" width="7.89"/>
    <col customWidth="1" min="11" max="11" width="7.11"/>
    <col customWidth="1" min="12" max="12" width="7.89"/>
    <col customWidth="1" min="13" max="13" width="7.11"/>
    <col customWidth="1" min="14" max="14" width="7.89"/>
    <col customWidth="1" min="15" max="15" width="7.11"/>
    <col customWidth="1" min="16" max="16" width="7.89"/>
    <col customWidth="1" min="17" max="17" width="7.11"/>
    <col customWidth="1" min="18" max="18" width="7.89"/>
    <col customWidth="1" min="19" max="19" width="7.11"/>
    <col customWidth="1" min="20" max="20" width="7.89"/>
    <col customWidth="1" min="21" max="21" width="7.11"/>
    <col customWidth="1" min="22" max="22" width="7.89"/>
    <col customWidth="1" min="23" max="23" width="7.11"/>
    <col customWidth="1" hidden="1" min="24" max="24" width="7.89"/>
    <col customWidth="1" hidden="1" min="25" max="25" width="7.11"/>
    <col customWidth="1" hidden="1" min="26" max="26" width="7.89"/>
    <col customWidth="1" hidden="1" min="27" max="27" width="7.11"/>
    <col customWidth="1" hidden="1" min="28" max="28" width="7.89"/>
    <col customWidth="1" hidden="1" min="29" max="29" width="7.11"/>
    <col customWidth="1" hidden="1" min="30" max="30" width="7.89"/>
    <col customWidth="1" hidden="1" min="31" max="31" width="7.11"/>
    <col customWidth="1" hidden="1" min="32" max="32" width="7.89"/>
    <col customWidth="1" hidden="1" min="33" max="33" width="7.11"/>
    <col customWidth="1" hidden="1" min="34" max="34" width="7.89"/>
    <col customWidth="1" hidden="1" min="35" max="35" width="7.11"/>
    <col customWidth="1" hidden="1" min="36" max="36" width="7.89"/>
    <col customWidth="1" hidden="1" min="37" max="37" width="7.11"/>
    <col customWidth="1" hidden="1" min="38" max="38" width="7.89"/>
    <col customWidth="1" hidden="1" min="39" max="39" width="7.11"/>
    <col customWidth="1" hidden="1" min="40" max="40" width="7.89"/>
    <col customWidth="1" hidden="1" min="41" max="41" width="7.11"/>
    <col customWidth="1" hidden="1" min="42" max="42" width="7.89"/>
    <col customWidth="1" hidden="1" min="43" max="43" width="7.11"/>
    <col customWidth="1" hidden="1" min="44" max="44" width="7.89"/>
    <col customWidth="1" hidden="1" min="45" max="45" width="7.11"/>
    <col customWidth="1" hidden="1" min="46" max="46" width="7.89"/>
    <col customWidth="1" hidden="1" min="47" max="47" width="7.11"/>
    <col customWidth="1" hidden="1" min="48" max="48" width="7.89"/>
    <col customWidth="1" hidden="1" min="49" max="49" width="7.11"/>
    <col customWidth="1" hidden="1" min="50" max="50" width="7.89"/>
    <col customWidth="1" hidden="1" min="51" max="51" width="7.11"/>
    <col customWidth="1" hidden="1" min="52" max="52" width="7.89"/>
    <col customWidth="1" hidden="1" min="53" max="53" width="7.11"/>
    <col customWidth="1" hidden="1" min="54" max="54" width="7.89"/>
    <col customWidth="1" hidden="1" min="55" max="55" width="7.11"/>
    <col customWidth="1" hidden="1" min="56" max="56" width="7.89"/>
    <col customWidth="1" hidden="1" min="57" max="57" width="7.11"/>
    <col customWidth="1" hidden="1" min="58" max="58" width="7.89"/>
    <col customWidth="1" hidden="1" min="59" max="59" width="7.11"/>
    <col customWidth="1" hidden="1" min="60" max="60" width="7.89"/>
    <col customWidth="1" hidden="1" min="61" max="61" width="7.11"/>
    <col customWidth="1" hidden="1" min="62" max="62" width="7.89"/>
    <col customWidth="1" hidden="1" min="63" max="63" width="7.11"/>
    <col customWidth="1" hidden="1" min="64" max="64" width="7.89"/>
    <col customWidth="1" hidden="1" min="65" max="65" width="7.11"/>
    <col customWidth="1" hidden="1" min="66" max="66" width="7.89"/>
    <col customWidth="1" hidden="1" min="67" max="67" width="7.11"/>
    <col customWidth="1" hidden="1" min="68" max="68" width="7.89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47">
        <f t="shared" si="71"/>
        <v>0</v>
      </c>
      <c r="BU71" s="148">
        <f t="shared" si="71"/>
        <v>0</v>
      </c>
      <c r="BV71" s="126" t="str">
        <f>BR71/BT71</f>
        <v>#VALUE!</v>
      </c>
      <c r="BW71" s="149" t="str">
        <f>BR71/BS71</f>
        <v>#VALUE!</v>
      </c>
      <c r="BX71" s="14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7.11"/>
    <col customWidth="1" min="10" max="10" width="7.33"/>
    <col customWidth="1" min="11" max="11" width="7.11"/>
    <col customWidth="1" min="12" max="12" width="7.33"/>
    <col customWidth="1" min="13" max="13" width="7.11"/>
    <col customWidth="1" min="14" max="14" width="7.33"/>
    <col customWidth="1" min="15" max="15" width="7.11"/>
    <col customWidth="1" min="16" max="16" width="7.33"/>
    <col customWidth="1" min="17" max="17" width="7.11"/>
    <col customWidth="1" min="18" max="18" width="7.33"/>
    <col customWidth="1" min="19" max="19" width="7.11"/>
    <col customWidth="1" min="20" max="20" width="7.33"/>
    <col customWidth="1" min="21" max="21" width="7.11"/>
    <col customWidth="1" min="22" max="22" width="7.33"/>
    <col customWidth="1" min="23" max="23" width="7.11"/>
    <col customWidth="1" hidden="1" min="24" max="24" width="7.33"/>
    <col customWidth="1" hidden="1" min="25" max="25" width="7.11"/>
    <col customWidth="1" hidden="1" min="26" max="26" width="7.33"/>
    <col customWidth="1" hidden="1" min="27" max="27" width="7.11"/>
    <col customWidth="1" hidden="1" min="28" max="28" width="7.33"/>
    <col customWidth="1" hidden="1" min="29" max="29" width="7.11"/>
    <col customWidth="1" hidden="1" min="30" max="30" width="7.33"/>
    <col customWidth="1" hidden="1" min="31" max="31" width="7.11"/>
    <col customWidth="1" hidden="1" min="32" max="32" width="7.33"/>
    <col customWidth="1" hidden="1" min="33" max="33" width="7.11"/>
    <col customWidth="1" hidden="1" min="34" max="34" width="7.33"/>
    <col customWidth="1" hidden="1" min="35" max="35" width="7.11"/>
    <col customWidth="1" hidden="1" min="36" max="36" width="7.33"/>
    <col customWidth="1" hidden="1" min="37" max="37" width="7.11"/>
    <col customWidth="1" hidden="1" min="38" max="38" width="7.33"/>
    <col customWidth="1" hidden="1" min="39" max="39" width="7.11"/>
    <col customWidth="1" hidden="1" min="40" max="40" width="7.33"/>
    <col customWidth="1" hidden="1" min="41" max="41" width="7.11"/>
    <col customWidth="1" hidden="1" min="42" max="42" width="7.33"/>
    <col customWidth="1" hidden="1" min="43" max="43" width="7.11"/>
    <col customWidth="1" hidden="1" min="44" max="44" width="7.33"/>
    <col customWidth="1" hidden="1" min="45" max="45" width="7.11"/>
    <col customWidth="1" hidden="1" min="46" max="46" width="7.33"/>
    <col customWidth="1" hidden="1" min="47" max="47" width="7.11"/>
    <col customWidth="1" hidden="1" min="48" max="48" width="7.33"/>
    <col customWidth="1" hidden="1" min="49" max="49" width="7.11"/>
    <col customWidth="1" hidden="1" min="50" max="50" width="7.33"/>
    <col customWidth="1" hidden="1" min="51" max="51" width="7.11"/>
    <col customWidth="1" hidden="1" min="52" max="52" width="7.33"/>
    <col customWidth="1" hidden="1" min="53" max="53" width="7.11"/>
    <col customWidth="1" hidden="1" min="54" max="54" width="7.33"/>
    <col customWidth="1" hidden="1" min="55" max="55" width="7.11"/>
    <col customWidth="1" hidden="1" min="56" max="56" width="7.33"/>
    <col customWidth="1" hidden="1" min="57" max="57" width="7.11"/>
    <col customWidth="1" hidden="1" min="58" max="58" width="7.33"/>
    <col customWidth="1" hidden="1" min="59" max="59" width="7.11"/>
    <col customWidth="1" hidden="1" min="60" max="60" width="7.33"/>
    <col customWidth="1" hidden="1" min="61" max="61" width="7.11"/>
    <col customWidth="1" hidden="1" min="62" max="62" width="7.33"/>
    <col customWidth="1" hidden="1" min="63" max="63" width="7.11"/>
    <col customWidth="1" hidden="1" min="64" max="64" width="7.33"/>
    <col customWidth="1" hidden="1" min="65" max="65" width="7.11"/>
    <col customWidth="1" hidden="1" min="66" max="66" width="7.33"/>
    <col customWidth="1" hidden="1" min="67" max="67" width="7.11"/>
    <col customWidth="1" hidden="1" min="68" max="68" width="7.33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47">
        <f t="shared" si="71"/>
        <v>0</v>
      </c>
      <c r="BU71" s="148">
        <f t="shared" si="71"/>
        <v>0</v>
      </c>
      <c r="BV71" s="126" t="str">
        <f>BR71/BT71</f>
        <v>#VALUE!</v>
      </c>
      <c r="BW71" s="149" t="str">
        <f>BR71/BS71</f>
        <v>#VALUE!</v>
      </c>
      <c r="BX71" s="14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7.11"/>
    <col customWidth="1" min="10" max="10" width="7.33"/>
    <col customWidth="1" min="11" max="11" width="7.11"/>
    <col customWidth="1" min="12" max="12" width="7.33"/>
    <col customWidth="1" min="13" max="13" width="7.11"/>
    <col customWidth="1" min="14" max="14" width="7.33"/>
    <col customWidth="1" min="15" max="15" width="7.11"/>
    <col customWidth="1" min="16" max="16" width="7.33"/>
    <col customWidth="1" min="17" max="17" width="7.11"/>
    <col customWidth="1" min="18" max="18" width="7.33"/>
    <col customWidth="1" min="19" max="19" width="7.11"/>
    <col customWidth="1" min="20" max="20" width="7.33"/>
    <col customWidth="1" min="21" max="21" width="7.11"/>
    <col customWidth="1" min="22" max="22" width="7.33"/>
    <col customWidth="1" min="23" max="23" width="7.11"/>
    <col customWidth="1" hidden="1" min="24" max="24" width="7.33"/>
    <col customWidth="1" hidden="1" min="25" max="25" width="7.11"/>
    <col customWidth="1" hidden="1" min="26" max="26" width="7.33"/>
    <col customWidth="1" hidden="1" min="27" max="27" width="7.11"/>
    <col customWidth="1" hidden="1" min="28" max="28" width="7.33"/>
    <col customWidth="1" hidden="1" min="29" max="29" width="7.11"/>
    <col customWidth="1" hidden="1" min="30" max="30" width="7.33"/>
    <col customWidth="1" hidden="1" min="31" max="31" width="7.11"/>
    <col customWidth="1" hidden="1" min="32" max="32" width="7.33"/>
    <col customWidth="1" hidden="1" min="33" max="33" width="7.11"/>
    <col customWidth="1" hidden="1" min="34" max="34" width="7.33"/>
    <col customWidth="1" hidden="1" min="35" max="35" width="7.11"/>
    <col customWidth="1" hidden="1" min="36" max="36" width="7.33"/>
    <col customWidth="1" hidden="1" min="37" max="37" width="7.11"/>
    <col customWidth="1" hidden="1" min="38" max="38" width="7.33"/>
    <col customWidth="1" hidden="1" min="39" max="39" width="7.11"/>
    <col customWidth="1" hidden="1" min="40" max="40" width="7.33"/>
    <col customWidth="1" hidden="1" min="41" max="41" width="7.11"/>
    <col customWidth="1" hidden="1" min="42" max="42" width="7.33"/>
    <col customWidth="1" hidden="1" min="43" max="43" width="7.11"/>
    <col customWidth="1" hidden="1" min="44" max="44" width="7.33"/>
    <col customWidth="1" hidden="1" min="45" max="45" width="7.11"/>
    <col customWidth="1" hidden="1" min="46" max="46" width="7.33"/>
    <col customWidth="1" hidden="1" min="47" max="47" width="7.11"/>
    <col customWidth="1" hidden="1" min="48" max="48" width="7.33"/>
    <col customWidth="1" hidden="1" min="49" max="49" width="7.11"/>
    <col customWidth="1" hidden="1" min="50" max="50" width="7.33"/>
    <col customWidth="1" hidden="1" min="51" max="51" width="7.11"/>
    <col customWidth="1" hidden="1" min="52" max="52" width="7.33"/>
    <col customWidth="1" hidden="1" min="53" max="53" width="7.11"/>
    <col customWidth="1" hidden="1" min="54" max="54" width="7.33"/>
    <col customWidth="1" hidden="1" min="55" max="55" width="7.11"/>
    <col customWidth="1" hidden="1" min="56" max="56" width="7.33"/>
    <col customWidth="1" hidden="1" min="57" max="57" width="7.11"/>
    <col customWidth="1" hidden="1" min="58" max="58" width="7.33"/>
    <col customWidth="1" hidden="1" min="59" max="59" width="7.11"/>
    <col customWidth="1" hidden="1" min="60" max="60" width="7.33"/>
    <col customWidth="1" hidden="1" min="61" max="61" width="7.11"/>
    <col customWidth="1" hidden="1" min="62" max="62" width="7.33"/>
    <col customWidth="1" hidden="1" min="63" max="63" width="7.11"/>
    <col customWidth="1" hidden="1" min="64" max="64" width="7.33"/>
    <col customWidth="1" hidden="1" min="65" max="65" width="7.11"/>
    <col customWidth="1" hidden="1" min="66" max="66" width="7.33"/>
    <col customWidth="1" hidden="1" min="67" max="67" width="7.11"/>
    <col customWidth="1" hidden="1" min="68" max="68" width="7.33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47">
        <f t="shared" si="71"/>
        <v>0</v>
      </c>
      <c r="BU71" s="148">
        <f t="shared" si="71"/>
        <v>0</v>
      </c>
      <c r="BV71" s="126" t="str">
        <f>BR71/BT71</f>
        <v>#VALUE!</v>
      </c>
      <c r="BW71" s="149" t="str">
        <f>BR71/BS71</f>
        <v>#VALUE!</v>
      </c>
      <c r="BX71" s="14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7.11"/>
    <col customWidth="1" min="10" max="10" width="7.33"/>
    <col customWidth="1" min="11" max="11" width="7.11"/>
    <col customWidth="1" min="12" max="12" width="7.33"/>
    <col customWidth="1" min="13" max="13" width="7.11"/>
    <col customWidth="1" min="14" max="14" width="7.33"/>
    <col customWidth="1" min="15" max="15" width="7.11"/>
    <col customWidth="1" min="16" max="16" width="7.33"/>
    <col customWidth="1" min="17" max="17" width="7.11"/>
    <col customWidth="1" min="18" max="18" width="7.33"/>
    <col customWidth="1" min="19" max="19" width="7.11"/>
    <col customWidth="1" min="20" max="20" width="7.33"/>
    <col customWidth="1" min="21" max="21" width="7.11"/>
    <col customWidth="1" min="22" max="22" width="7.33"/>
    <col customWidth="1" min="23" max="23" width="7.11"/>
    <col customWidth="1" hidden="1" min="24" max="24" width="7.33"/>
    <col customWidth="1" hidden="1" min="25" max="25" width="7.11"/>
    <col customWidth="1" hidden="1" min="26" max="26" width="7.33"/>
    <col customWidth="1" hidden="1" min="27" max="27" width="7.11"/>
    <col customWidth="1" hidden="1" min="28" max="28" width="7.33"/>
    <col customWidth="1" hidden="1" min="29" max="29" width="7.11"/>
    <col customWidth="1" hidden="1" min="30" max="30" width="7.33"/>
    <col customWidth="1" hidden="1" min="31" max="31" width="7.11"/>
    <col customWidth="1" hidden="1" min="32" max="32" width="7.33"/>
    <col customWidth="1" hidden="1" min="33" max="33" width="7.11"/>
    <col customWidth="1" hidden="1" min="34" max="34" width="7.33"/>
    <col customWidth="1" hidden="1" min="35" max="35" width="7.11"/>
    <col customWidth="1" hidden="1" min="36" max="36" width="7.33"/>
    <col customWidth="1" hidden="1" min="37" max="37" width="7.11"/>
    <col customWidth="1" hidden="1" min="38" max="38" width="7.33"/>
    <col customWidth="1" hidden="1" min="39" max="39" width="7.11"/>
    <col customWidth="1" hidden="1" min="40" max="40" width="7.33"/>
    <col customWidth="1" hidden="1" min="41" max="41" width="7.11"/>
    <col customWidth="1" hidden="1" min="42" max="42" width="7.33"/>
    <col customWidth="1" hidden="1" min="43" max="43" width="7.11"/>
    <col customWidth="1" hidden="1" min="44" max="44" width="7.33"/>
    <col customWidth="1" hidden="1" min="45" max="45" width="7.11"/>
    <col customWidth="1" hidden="1" min="46" max="46" width="7.33"/>
    <col customWidth="1" hidden="1" min="47" max="47" width="7.11"/>
    <col customWidth="1" hidden="1" min="48" max="48" width="7.33"/>
    <col customWidth="1" hidden="1" min="49" max="49" width="7.11"/>
    <col customWidth="1" hidden="1" min="50" max="50" width="7.33"/>
    <col customWidth="1" hidden="1" min="51" max="51" width="7.11"/>
    <col customWidth="1" hidden="1" min="52" max="52" width="7.33"/>
    <col customWidth="1" hidden="1" min="53" max="53" width="7.11"/>
    <col customWidth="1" hidden="1" min="54" max="54" width="7.33"/>
    <col customWidth="1" hidden="1" min="55" max="55" width="7.11"/>
    <col customWidth="1" hidden="1" min="56" max="56" width="7.33"/>
    <col customWidth="1" hidden="1" min="57" max="57" width="7.11"/>
    <col customWidth="1" hidden="1" min="58" max="58" width="7.33"/>
    <col customWidth="1" hidden="1" min="59" max="59" width="7.11"/>
    <col customWidth="1" hidden="1" min="60" max="60" width="7.33"/>
    <col customWidth="1" hidden="1" min="61" max="61" width="7.11"/>
    <col customWidth="1" hidden="1" min="62" max="62" width="7.33"/>
    <col customWidth="1" hidden="1" min="63" max="63" width="7.11"/>
    <col customWidth="1" hidden="1" min="64" max="64" width="7.33"/>
    <col customWidth="1" hidden="1" min="65" max="65" width="7.11"/>
    <col customWidth="1" hidden="1" min="66" max="66" width="7.33"/>
    <col customWidth="1" hidden="1" min="67" max="67" width="7.11"/>
    <col customWidth="1" hidden="1" min="68" max="68" width="7.33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47">
        <f t="shared" si="71"/>
        <v>0</v>
      </c>
      <c r="BU71" s="148">
        <f t="shared" si="71"/>
        <v>0</v>
      </c>
      <c r="BV71" s="126" t="str">
        <f>BR71/BT71</f>
        <v>#VALUE!</v>
      </c>
      <c r="BW71" s="149" t="str">
        <f>BR71/BS71</f>
        <v>#VALUE!</v>
      </c>
      <c r="BX71" s="14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8" width="10.11"/>
    <col customWidth="1" min="9" max="9" width="7.11"/>
    <col customWidth="1" min="10" max="10" width="7.33"/>
    <col customWidth="1" min="11" max="11" width="7.11"/>
    <col customWidth="1" min="12" max="12" width="7.33"/>
    <col customWidth="1" min="13" max="13" width="7.11"/>
    <col customWidth="1" min="14" max="14" width="7.33"/>
    <col customWidth="1" min="15" max="15" width="7.11"/>
    <col customWidth="1" min="16" max="16" width="7.33"/>
    <col customWidth="1" min="17" max="17" width="7.11"/>
    <col customWidth="1" min="18" max="18" width="7.33"/>
    <col customWidth="1" min="19" max="19" width="7.11"/>
    <col customWidth="1" min="20" max="20" width="7.33"/>
    <col customWidth="1" min="21" max="21" width="7.11"/>
    <col customWidth="1" min="22" max="22" width="7.33"/>
    <col customWidth="1" min="23" max="23" width="7.11"/>
    <col customWidth="1" hidden="1" min="24" max="24" width="7.33"/>
    <col customWidth="1" hidden="1" min="25" max="25" width="7.11"/>
    <col customWidth="1" hidden="1" min="26" max="26" width="7.33"/>
    <col customWidth="1" hidden="1" min="27" max="27" width="7.11"/>
    <col customWidth="1" hidden="1" min="28" max="28" width="7.33"/>
    <col customWidth="1" hidden="1" min="29" max="29" width="7.11"/>
    <col customWidth="1" hidden="1" min="30" max="30" width="7.33"/>
    <col customWidth="1" hidden="1" min="31" max="31" width="7.11"/>
    <col customWidth="1" hidden="1" min="32" max="32" width="7.33"/>
    <col customWidth="1" hidden="1" min="33" max="33" width="7.11"/>
    <col customWidth="1" hidden="1" min="34" max="34" width="7.33"/>
    <col customWidth="1" hidden="1" min="35" max="35" width="7.11"/>
    <col customWidth="1" hidden="1" min="36" max="36" width="7.33"/>
    <col customWidth="1" hidden="1" min="37" max="37" width="7.11"/>
    <col customWidth="1" hidden="1" min="38" max="38" width="7.33"/>
    <col customWidth="1" hidden="1" min="39" max="39" width="7.11"/>
    <col customWidth="1" hidden="1" min="40" max="40" width="7.33"/>
    <col customWidth="1" hidden="1" min="41" max="41" width="7.11"/>
    <col customWidth="1" hidden="1" min="42" max="42" width="7.33"/>
    <col customWidth="1" hidden="1" min="43" max="43" width="7.11"/>
    <col customWidth="1" hidden="1" min="44" max="44" width="7.33"/>
    <col customWidth="1" hidden="1" min="45" max="45" width="7.11"/>
    <col customWidth="1" hidden="1" min="46" max="46" width="7.33"/>
    <col customWidth="1" hidden="1" min="47" max="47" width="7.11"/>
    <col customWidth="1" hidden="1" min="48" max="48" width="7.33"/>
    <col customWidth="1" hidden="1" min="49" max="49" width="7.11"/>
    <col customWidth="1" hidden="1" min="50" max="50" width="7.33"/>
    <col customWidth="1" hidden="1" min="51" max="51" width="7.11"/>
    <col customWidth="1" hidden="1" min="52" max="52" width="7.33"/>
    <col customWidth="1" hidden="1" min="53" max="53" width="7.11"/>
    <col customWidth="1" hidden="1" min="54" max="54" width="7.33"/>
    <col customWidth="1" hidden="1" min="55" max="55" width="7.11"/>
    <col customWidth="1" hidden="1" min="56" max="56" width="7.33"/>
    <col customWidth="1" hidden="1" min="57" max="57" width="7.11"/>
    <col customWidth="1" hidden="1" min="58" max="58" width="7.33"/>
    <col customWidth="1" hidden="1" min="59" max="59" width="7.11"/>
    <col customWidth="1" hidden="1" min="60" max="60" width="7.33"/>
    <col customWidth="1" hidden="1" min="61" max="61" width="7.11"/>
    <col customWidth="1" hidden="1" min="62" max="62" width="7.33"/>
    <col customWidth="1" hidden="1" min="63" max="63" width="7.11"/>
    <col customWidth="1" hidden="1" min="64" max="64" width="7.33"/>
    <col customWidth="1" hidden="1" min="65" max="65" width="7.11"/>
    <col customWidth="1" hidden="1" min="66" max="66" width="7.33"/>
    <col customWidth="1" hidden="1" min="67" max="67" width="7.11"/>
    <col customWidth="1" hidden="1" min="68" max="68" width="7.33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D1" s="2"/>
      <c r="E1" s="2"/>
      <c r="F1" s="2"/>
      <c r="G1" s="2"/>
      <c r="H1" s="2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9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25" t="s">
        <v>13</v>
      </c>
      <c r="BW3" s="26" t="s">
        <v>14</v>
      </c>
      <c r="BX3" s="27" t="s">
        <v>15</v>
      </c>
    </row>
    <row r="4" ht="12.0" customHeight="1">
      <c r="A4" s="28" t="s">
        <v>16</v>
      </c>
      <c r="B4" s="29" t="s">
        <v>17</v>
      </c>
      <c r="C4" s="30" t="s">
        <v>18</v>
      </c>
      <c r="D4" s="31" t="s">
        <v>19</v>
      </c>
      <c r="E4" s="32" t="s">
        <v>20</v>
      </c>
      <c r="F4" s="31" t="s">
        <v>21</v>
      </c>
      <c r="G4" s="32" t="s">
        <v>22</v>
      </c>
      <c r="H4" s="31" t="s">
        <v>23</v>
      </c>
      <c r="I4" s="32" t="s">
        <v>24</v>
      </c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1">D4+F4+H4+J4+L4+N4+V4+X4+Z4+AB4+AD4+AF4+AZ4+BB4+BD4+BF4+BH4+AH4+P4+R4+AJ4+BJ4+AL4+AN4+AP4+AR4+AT4+AX4+AV4+BL4+T4+BN4+BP4</f>
        <v>#VALUE!</v>
      </c>
      <c r="BS4" s="41" t="str">
        <f t="shared" si="1"/>
        <v>#VALUE!</v>
      </c>
      <c r="BT4" s="42" t="s">
        <v>25</v>
      </c>
      <c r="BU4" s="42" t="s">
        <v>26</v>
      </c>
      <c r="BV4" s="43" t="str">
        <f t="shared" ref="BV4:BV70" si="3">IF(BR4=0, "", BR4/BT4)</f>
        <v>#VALUE!</v>
      </c>
      <c r="BW4" s="44" t="str">
        <f t="shared" ref="BW4:BW70" si="4">IF(BR4=0, "", BR4/BS4)</f>
        <v>#VALUE!</v>
      </c>
      <c r="BX4" s="45" t="str">
        <f t="shared" ref="BX4:BX70" si="5">IF(BR4=0, "", BR4/BU4)</f>
        <v>#VALUE!</v>
      </c>
    </row>
    <row r="5" ht="12.0" customHeight="1">
      <c r="A5" s="101"/>
      <c r="B5" s="29"/>
      <c r="C5" s="30"/>
      <c r="D5" s="33"/>
      <c r="E5" s="32"/>
      <c r="F5" s="33"/>
      <c r="G5" s="32"/>
      <c r="H5" s="33"/>
      <c r="I5" s="32"/>
      <c r="J5" s="33"/>
      <c r="K5" s="32"/>
      <c r="L5" s="33"/>
      <c r="M5" s="32"/>
      <c r="N5" s="33"/>
      <c r="O5" s="32"/>
      <c r="P5" s="33"/>
      <c r="Q5" s="32"/>
      <c r="R5" s="33"/>
      <c r="S5" s="32"/>
      <c r="T5" s="33"/>
      <c r="U5" s="32"/>
      <c r="V5" s="33"/>
      <c r="W5" s="32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5"/>
      <c r="AP5" s="36"/>
      <c r="AQ5" s="35"/>
      <c r="AR5" s="36"/>
      <c r="AS5" s="35"/>
      <c r="AT5" s="36"/>
      <c r="AU5" s="35"/>
      <c r="AV5" s="36"/>
      <c r="AW5" s="35"/>
      <c r="AX5" s="36"/>
      <c r="AY5" s="37"/>
      <c r="AZ5" s="38"/>
      <c r="BA5" s="39"/>
      <c r="BB5" s="38"/>
      <c r="BC5" s="39"/>
      <c r="BD5" s="38"/>
      <c r="BE5" s="39"/>
      <c r="BF5" s="38"/>
      <c r="BG5" s="39"/>
      <c r="BH5" s="38"/>
      <c r="BI5" s="39"/>
      <c r="BJ5" s="38"/>
      <c r="BK5" s="39"/>
      <c r="BL5" s="38"/>
      <c r="BM5" s="39"/>
      <c r="BN5" s="38"/>
      <c r="BO5" s="39"/>
      <c r="BP5" s="38"/>
      <c r="BQ5" s="39"/>
      <c r="BR5" s="40">
        <f t="shared" ref="BR5:BS5" si="2">D5+F5+H5+J5+L5+N5+V5+X5+Z5+AB5+AD5+AF5+AZ5+BB5+BD5+BF5+BH5+AH5+P5+R5+AJ5+BJ5+AL5+AN5+AP5+AR5+AT5+AX5+AV5+BL5+T5+BN5+BP5</f>
        <v>0</v>
      </c>
      <c r="BS5" s="41">
        <f t="shared" si="2"/>
        <v>0</v>
      </c>
      <c r="BT5" s="42"/>
      <c r="BU5" s="42"/>
      <c r="BV5" s="43" t="str">
        <f t="shared" si="3"/>
        <v/>
      </c>
      <c r="BW5" s="44" t="str">
        <f t="shared" si="4"/>
        <v/>
      </c>
      <c r="BX5" s="45" t="str">
        <f t="shared" si="5"/>
        <v/>
      </c>
    </row>
    <row r="6" ht="12.0" customHeight="1">
      <c r="A6" s="101"/>
      <c r="B6" s="29"/>
      <c r="C6" s="30"/>
      <c r="D6" s="33"/>
      <c r="E6" s="32"/>
      <c r="F6" s="33"/>
      <c r="G6" s="32"/>
      <c r="H6" s="33"/>
      <c r="I6" s="32"/>
      <c r="J6" s="33"/>
      <c r="K6" s="32"/>
      <c r="L6" s="33"/>
      <c r="M6" s="32"/>
      <c r="N6" s="33"/>
      <c r="O6" s="32"/>
      <c r="P6" s="33"/>
      <c r="Q6" s="32"/>
      <c r="R6" s="33"/>
      <c r="S6" s="32"/>
      <c r="T6" s="33"/>
      <c r="U6" s="32"/>
      <c r="V6" s="33"/>
      <c r="W6" s="32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5"/>
      <c r="AP6" s="36"/>
      <c r="AQ6" s="35"/>
      <c r="AR6" s="36"/>
      <c r="AS6" s="35"/>
      <c r="AT6" s="36"/>
      <c r="AU6" s="35"/>
      <c r="AV6" s="36"/>
      <c r="AW6" s="35"/>
      <c r="AX6" s="36"/>
      <c r="AY6" s="37"/>
      <c r="AZ6" s="38"/>
      <c r="BA6" s="39"/>
      <c r="BB6" s="38"/>
      <c r="BC6" s="39"/>
      <c r="BD6" s="38"/>
      <c r="BE6" s="39"/>
      <c r="BF6" s="38"/>
      <c r="BG6" s="39"/>
      <c r="BH6" s="38"/>
      <c r="BI6" s="39"/>
      <c r="BJ6" s="38"/>
      <c r="BK6" s="39"/>
      <c r="BL6" s="38"/>
      <c r="BM6" s="39"/>
      <c r="BN6" s="38"/>
      <c r="BO6" s="39"/>
      <c r="BP6" s="38"/>
      <c r="BQ6" s="39"/>
      <c r="BR6" s="40">
        <f t="shared" ref="BR6:BS6" si="6">D6+F6+H6+J6+L6+N6+V6+X6+Z6+AB6+AD6+AF6+AZ6+BB6+BD6+BF6+BH6+AH6+P6+R6+AJ6+BJ6+AL6+AN6+AP6+AR6+AT6+AX6+AV6+BL6+T6+BN6+BP6</f>
        <v>0</v>
      </c>
      <c r="BS6" s="41">
        <f t="shared" si="6"/>
        <v>0</v>
      </c>
      <c r="BT6" s="42"/>
      <c r="BU6" s="42"/>
      <c r="BV6" s="43" t="str">
        <f t="shared" si="3"/>
        <v/>
      </c>
      <c r="BW6" s="44" t="str">
        <f t="shared" si="4"/>
        <v/>
      </c>
      <c r="BX6" s="45" t="str">
        <f t="shared" si="5"/>
        <v/>
      </c>
    </row>
    <row r="7" ht="12.0" customHeight="1">
      <c r="A7" s="101"/>
      <c r="B7" s="29"/>
      <c r="C7" s="30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2"/>
      <c r="R7" s="33"/>
      <c r="S7" s="32"/>
      <c r="T7" s="33"/>
      <c r="U7" s="32"/>
      <c r="V7" s="33"/>
      <c r="W7" s="32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5"/>
      <c r="AR7" s="36"/>
      <c r="AS7" s="35"/>
      <c r="AT7" s="36"/>
      <c r="AU7" s="35"/>
      <c r="AV7" s="36"/>
      <c r="AW7" s="35"/>
      <c r="AX7" s="36"/>
      <c r="AY7" s="37"/>
      <c r="AZ7" s="38"/>
      <c r="BA7" s="39"/>
      <c r="BB7" s="38"/>
      <c r="BC7" s="39"/>
      <c r="BD7" s="38"/>
      <c r="BE7" s="39"/>
      <c r="BF7" s="38"/>
      <c r="BG7" s="39"/>
      <c r="BH7" s="38"/>
      <c r="BI7" s="39"/>
      <c r="BJ7" s="38"/>
      <c r="BK7" s="39"/>
      <c r="BL7" s="38"/>
      <c r="BM7" s="39"/>
      <c r="BN7" s="38"/>
      <c r="BO7" s="39"/>
      <c r="BP7" s="38"/>
      <c r="BQ7" s="39"/>
      <c r="BR7" s="40">
        <f t="shared" ref="BR7:BS7" si="7">D7+F7+H7+J7+L7+N7+V7+X7+Z7+AB7+AD7+AF7+AZ7+BB7+BD7+BF7+BH7+AH7+P7+R7+AJ7+BJ7+AL7+AN7+AP7+AR7+AT7+AX7+AV7+BL7+T7+BN7+BP7</f>
        <v>0</v>
      </c>
      <c r="BS7" s="41">
        <f t="shared" si="7"/>
        <v>0</v>
      </c>
      <c r="BT7" s="42"/>
      <c r="BU7" s="42"/>
      <c r="BV7" s="43" t="str">
        <f t="shared" si="3"/>
        <v/>
      </c>
      <c r="BW7" s="44" t="str">
        <f t="shared" si="4"/>
        <v/>
      </c>
      <c r="BX7" s="45" t="str">
        <f t="shared" si="5"/>
        <v/>
      </c>
    </row>
    <row r="8" ht="12.0" customHeight="1">
      <c r="A8" s="101"/>
      <c r="B8" s="29"/>
      <c r="C8" s="30"/>
      <c r="D8" s="33"/>
      <c r="E8" s="32"/>
      <c r="F8" s="33"/>
      <c r="G8" s="32"/>
      <c r="H8" s="33"/>
      <c r="I8" s="32"/>
      <c r="J8" s="33"/>
      <c r="K8" s="32"/>
      <c r="L8" s="33"/>
      <c r="M8" s="32"/>
      <c r="N8" s="33"/>
      <c r="O8" s="32"/>
      <c r="P8" s="33"/>
      <c r="Q8" s="32"/>
      <c r="R8" s="33"/>
      <c r="S8" s="32"/>
      <c r="T8" s="33"/>
      <c r="U8" s="32"/>
      <c r="V8" s="33"/>
      <c r="W8" s="32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5"/>
      <c r="AP8" s="36"/>
      <c r="AQ8" s="35"/>
      <c r="AR8" s="36"/>
      <c r="AS8" s="35"/>
      <c r="AT8" s="36"/>
      <c r="AU8" s="35"/>
      <c r="AV8" s="36"/>
      <c r="AW8" s="35"/>
      <c r="AX8" s="36"/>
      <c r="AY8" s="37"/>
      <c r="AZ8" s="38"/>
      <c r="BA8" s="39"/>
      <c r="BB8" s="38"/>
      <c r="BC8" s="39"/>
      <c r="BD8" s="38"/>
      <c r="BE8" s="39"/>
      <c r="BF8" s="38"/>
      <c r="BG8" s="39"/>
      <c r="BH8" s="38"/>
      <c r="BI8" s="39"/>
      <c r="BJ8" s="38"/>
      <c r="BK8" s="39"/>
      <c r="BL8" s="38"/>
      <c r="BM8" s="39"/>
      <c r="BN8" s="38"/>
      <c r="BO8" s="39"/>
      <c r="BP8" s="38"/>
      <c r="BQ8" s="39"/>
      <c r="BR8" s="40">
        <f t="shared" ref="BR8:BS8" si="8">D8+F8+H8+J8+L8+N8+V8+X8+Z8+AB8+AD8+AF8+AZ8+BB8+BD8+BF8+BH8+AH8+P8+R8+AJ8+BJ8+AL8+AN8+AP8+AR8+AT8+AX8+AV8+BL8+T8+BN8+BP8</f>
        <v>0</v>
      </c>
      <c r="BS8" s="41">
        <f t="shared" si="8"/>
        <v>0</v>
      </c>
      <c r="BT8" s="42"/>
      <c r="BU8" s="42"/>
      <c r="BV8" s="43" t="str">
        <f t="shared" si="3"/>
        <v/>
      </c>
      <c r="BW8" s="44" t="str">
        <f t="shared" si="4"/>
        <v/>
      </c>
      <c r="BX8" s="45" t="str">
        <f t="shared" si="5"/>
        <v/>
      </c>
    </row>
    <row r="9" ht="12.0" customHeight="1">
      <c r="A9" s="101"/>
      <c r="B9" s="29"/>
      <c r="C9" s="30"/>
      <c r="D9" s="33"/>
      <c r="E9" s="32"/>
      <c r="F9" s="33"/>
      <c r="G9" s="32"/>
      <c r="H9" s="33"/>
      <c r="I9" s="32"/>
      <c r="J9" s="33"/>
      <c r="K9" s="32"/>
      <c r="L9" s="33"/>
      <c r="M9" s="32"/>
      <c r="N9" s="33"/>
      <c r="O9" s="32"/>
      <c r="P9" s="33"/>
      <c r="Q9" s="32"/>
      <c r="R9" s="33"/>
      <c r="S9" s="32"/>
      <c r="T9" s="33"/>
      <c r="U9" s="32"/>
      <c r="V9" s="33"/>
      <c r="W9" s="32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5"/>
      <c r="AP9" s="36"/>
      <c r="AQ9" s="35"/>
      <c r="AR9" s="36"/>
      <c r="AS9" s="35"/>
      <c r="AT9" s="36"/>
      <c r="AU9" s="35"/>
      <c r="AV9" s="36"/>
      <c r="AW9" s="35"/>
      <c r="AX9" s="36"/>
      <c r="AY9" s="37"/>
      <c r="AZ9" s="38"/>
      <c r="BA9" s="39"/>
      <c r="BB9" s="38"/>
      <c r="BC9" s="39"/>
      <c r="BD9" s="38"/>
      <c r="BE9" s="39"/>
      <c r="BF9" s="38"/>
      <c r="BG9" s="39"/>
      <c r="BH9" s="38"/>
      <c r="BI9" s="39"/>
      <c r="BJ9" s="38"/>
      <c r="BK9" s="39"/>
      <c r="BL9" s="38"/>
      <c r="BM9" s="39"/>
      <c r="BN9" s="38"/>
      <c r="BO9" s="39"/>
      <c r="BP9" s="38"/>
      <c r="BQ9" s="39"/>
      <c r="BR9" s="40">
        <f t="shared" ref="BR9:BS9" si="9">D9+F9+H9+J9+L9+N9+V9+X9+Z9+AB9+AD9+AF9+AZ9+BB9+BD9+BF9+BH9+AH9+P9+R9+AJ9+BJ9+AL9+AN9+AP9+AR9+AT9+AX9+AV9+BL9+T9+BN9+BP9</f>
        <v>0</v>
      </c>
      <c r="BS9" s="41">
        <f t="shared" si="9"/>
        <v>0</v>
      </c>
      <c r="BT9" s="42"/>
      <c r="BU9" s="42"/>
      <c r="BV9" s="43" t="str">
        <f t="shared" si="3"/>
        <v/>
      </c>
      <c r="BW9" s="44" t="str">
        <f t="shared" si="4"/>
        <v/>
      </c>
      <c r="BX9" s="45" t="str">
        <f t="shared" si="5"/>
        <v/>
      </c>
    </row>
    <row r="10" ht="12.0" customHeight="1">
      <c r="A10" s="101"/>
      <c r="B10" s="29"/>
      <c r="C10" s="30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6"/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5"/>
      <c r="AP10" s="36"/>
      <c r="AQ10" s="35"/>
      <c r="AR10" s="36"/>
      <c r="AS10" s="35"/>
      <c r="AT10" s="36"/>
      <c r="AU10" s="35"/>
      <c r="AV10" s="36"/>
      <c r="AW10" s="35"/>
      <c r="AX10" s="36"/>
      <c r="AY10" s="37"/>
      <c r="AZ10" s="38"/>
      <c r="BA10" s="39"/>
      <c r="BB10" s="38"/>
      <c r="BC10" s="39"/>
      <c r="BD10" s="38"/>
      <c r="BE10" s="39"/>
      <c r="BF10" s="38"/>
      <c r="BG10" s="39"/>
      <c r="BH10" s="38"/>
      <c r="BI10" s="39"/>
      <c r="BJ10" s="38"/>
      <c r="BK10" s="39"/>
      <c r="BL10" s="38"/>
      <c r="BM10" s="39"/>
      <c r="BN10" s="38"/>
      <c r="BO10" s="39"/>
      <c r="BP10" s="38"/>
      <c r="BQ10" s="39"/>
      <c r="BR10" s="40">
        <f t="shared" ref="BR10:BS10" si="10">D10+F10+H10+J10+L10+N10+V10+X10+Z10+AB10+AD10+AF10+AZ10+BB10+BD10+BF10+BH10+AH10+P10+R10+AJ10+BJ10+AL10+AN10+AP10+AR10+AT10+AX10+AV10+BL10+T10+BN10+BP10</f>
        <v>0</v>
      </c>
      <c r="BS10" s="41">
        <f t="shared" si="10"/>
        <v>0</v>
      </c>
      <c r="BT10" s="42"/>
      <c r="BU10" s="42"/>
      <c r="BV10" s="43" t="str">
        <f t="shared" si="3"/>
        <v/>
      </c>
      <c r="BW10" s="44" t="str">
        <f t="shared" si="4"/>
        <v/>
      </c>
      <c r="BX10" s="45" t="str">
        <f t="shared" si="5"/>
        <v/>
      </c>
    </row>
    <row r="11" ht="12.0" customHeight="1">
      <c r="A11" s="101"/>
      <c r="B11" s="29"/>
      <c r="C11" s="30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6"/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5"/>
      <c r="AP11" s="36"/>
      <c r="AQ11" s="35"/>
      <c r="AR11" s="36"/>
      <c r="AS11" s="35"/>
      <c r="AT11" s="36"/>
      <c r="AU11" s="35"/>
      <c r="AV11" s="36"/>
      <c r="AW11" s="35"/>
      <c r="AX11" s="36"/>
      <c r="AY11" s="37"/>
      <c r="AZ11" s="38"/>
      <c r="BA11" s="39"/>
      <c r="BB11" s="38"/>
      <c r="BC11" s="39"/>
      <c r="BD11" s="38"/>
      <c r="BE11" s="39"/>
      <c r="BF11" s="38"/>
      <c r="BG11" s="39"/>
      <c r="BH11" s="38"/>
      <c r="BI11" s="39"/>
      <c r="BJ11" s="38"/>
      <c r="BK11" s="39"/>
      <c r="BL11" s="38"/>
      <c r="BM11" s="39"/>
      <c r="BN11" s="38"/>
      <c r="BO11" s="39"/>
      <c r="BP11" s="38"/>
      <c r="BQ11" s="39"/>
      <c r="BR11" s="40">
        <f t="shared" ref="BR11:BS11" si="11">D11+F11+H11+J11+L11+N11+V11+X11+Z11+AB11+AD11+AF11+AZ11+BB11+BD11+BF11+BH11+AH11+P11+R11+AJ11+BJ11+AL11+AN11+AP11+AR11+AT11+AX11+AV11+BL11+T11+BN11+BP11</f>
        <v>0</v>
      </c>
      <c r="BS11" s="41">
        <f t="shared" si="11"/>
        <v>0</v>
      </c>
      <c r="BT11" s="42"/>
      <c r="BU11" s="42"/>
      <c r="BV11" s="43" t="str">
        <f t="shared" si="3"/>
        <v/>
      </c>
      <c r="BW11" s="44" t="str">
        <f t="shared" si="4"/>
        <v/>
      </c>
      <c r="BX11" s="45" t="str">
        <f t="shared" si="5"/>
        <v/>
      </c>
    </row>
    <row r="12" ht="12.0" customHeight="1">
      <c r="A12" s="101"/>
      <c r="B12" s="29"/>
      <c r="C12" s="30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5"/>
      <c r="AP12" s="36"/>
      <c r="AQ12" s="35"/>
      <c r="AR12" s="36"/>
      <c r="AS12" s="35"/>
      <c r="AT12" s="36"/>
      <c r="AU12" s="35"/>
      <c r="AV12" s="36"/>
      <c r="AW12" s="35"/>
      <c r="AX12" s="36"/>
      <c r="AY12" s="37"/>
      <c r="AZ12" s="38"/>
      <c r="BA12" s="39"/>
      <c r="BB12" s="38"/>
      <c r="BC12" s="39"/>
      <c r="BD12" s="38"/>
      <c r="BE12" s="39"/>
      <c r="BF12" s="38"/>
      <c r="BG12" s="39"/>
      <c r="BH12" s="38"/>
      <c r="BI12" s="39"/>
      <c r="BJ12" s="38"/>
      <c r="BK12" s="39"/>
      <c r="BL12" s="38"/>
      <c r="BM12" s="39"/>
      <c r="BN12" s="38"/>
      <c r="BO12" s="39"/>
      <c r="BP12" s="38"/>
      <c r="BQ12" s="39"/>
      <c r="BR12" s="40">
        <f t="shared" ref="BR12:BS12" si="12">D12+F12+H12+J12+L12+N12+V12+X12+Z12+AB12+AD12+AF12+AZ12+BB12+BD12+BF12+BH12+AH12+P12+R12+AJ12+BJ12+AL12+AN12+AP12+AR12+AT12+AX12+AV12+BL12+T12+BN12+BP12</f>
        <v>0</v>
      </c>
      <c r="BS12" s="41">
        <f t="shared" si="12"/>
        <v>0</v>
      </c>
      <c r="BT12" s="42"/>
      <c r="BU12" s="42"/>
      <c r="BV12" s="43" t="str">
        <f t="shared" si="3"/>
        <v/>
      </c>
      <c r="BW12" s="44" t="str">
        <f t="shared" si="4"/>
        <v/>
      </c>
      <c r="BX12" s="45" t="str">
        <f t="shared" si="5"/>
        <v/>
      </c>
    </row>
    <row r="13" ht="12.0" customHeight="1">
      <c r="A13" s="101"/>
      <c r="B13" s="29"/>
      <c r="C13" s="30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6"/>
      <c r="Y13" s="35"/>
      <c r="Z13" s="36"/>
      <c r="AA13" s="35"/>
      <c r="AB13" s="36"/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5"/>
      <c r="AP13" s="36"/>
      <c r="AQ13" s="35"/>
      <c r="AR13" s="36"/>
      <c r="AS13" s="35"/>
      <c r="AT13" s="36"/>
      <c r="AU13" s="35"/>
      <c r="AV13" s="36"/>
      <c r="AW13" s="35"/>
      <c r="AX13" s="36"/>
      <c r="AY13" s="37"/>
      <c r="AZ13" s="38"/>
      <c r="BA13" s="39"/>
      <c r="BB13" s="38"/>
      <c r="BC13" s="39"/>
      <c r="BD13" s="38"/>
      <c r="BE13" s="39"/>
      <c r="BF13" s="38"/>
      <c r="BG13" s="39"/>
      <c r="BH13" s="38"/>
      <c r="BI13" s="39"/>
      <c r="BJ13" s="38"/>
      <c r="BK13" s="39"/>
      <c r="BL13" s="38"/>
      <c r="BM13" s="39"/>
      <c r="BN13" s="38"/>
      <c r="BO13" s="39"/>
      <c r="BP13" s="38"/>
      <c r="BQ13" s="39"/>
      <c r="BR13" s="40">
        <f t="shared" ref="BR13:BS13" si="13">D13+F13+H13+J13+L13+N13+V13+X13+Z13+AB13+AD13+AF13+AZ13+BB13+BD13+BF13+BH13+AH13+P13+R13+AJ13+BJ13+AL13+AN13+AP13+AR13+AT13+AX13+AV13+BL13+T13+BN13+BP13</f>
        <v>0</v>
      </c>
      <c r="BS13" s="41">
        <f t="shared" si="13"/>
        <v>0</v>
      </c>
      <c r="BT13" s="42"/>
      <c r="BU13" s="42"/>
      <c r="BV13" s="43" t="str">
        <f t="shared" si="3"/>
        <v/>
      </c>
      <c r="BW13" s="44" t="str">
        <f t="shared" si="4"/>
        <v/>
      </c>
      <c r="BX13" s="45" t="str">
        <f t="shared" si="5"/>
        <v/>
      </c>
    </row>
    <row r="14" ht="12.0" customHeight="1">
      <c r="A14" s="101"/>
      <c r="B14" s="29"/>
      <c r="C14" s="30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5"/>
      <c r="AP14" s="36"/>
      <c r="AQ14" s="35"/>
      <c r="AR14" s="36"/>
      <c r="AS14" s="35"/>
      <c r="AT14" s="36"/>
      <c r="AU14" s="35"/>
      <c r="AV14" s="36"/>
      <c r="AW14" s="35"/>
      <c r="AX14" s="36"/>
      <c r="AY14" s="37"/>
      <c r="AZ14" s="38"/>
      <c r="BA14" s="39"/>
      <c r="BB14" s="38"/>
      <c r="BC14" s="39"/>
      <c r="BD14" s="38"/>
      <c r="BE14" s="39"/>
      <c r="BF14" s="38"/>
      <c r="BG14" s="39"/>
      <c r="BH14" s="38"/>
      <c r="BI14" s="39"/>
      <c r="BJ14" s="38"/>
      <c r="BK14" s="39"/>
      <c r="BL14" s="38"/>
      <c r="BM14" s="39"/>
      <c r="BN14" s="38"/>
      <c r="BO14" s="39"/>
      <c r="BP14" s="38"/>
      <c r="BQ14" s="39"/>
      <c r="BR14" s="40">
        <f t="shared" ref="BR14:BS14" si="14">D14+F14+H14+J14+L14+N14+V14+X14+Z14+AB14+AD14+AF14+AZ14+BB14+BD14+BF14+BH14+AH14+P14+R14+AJ14+BJ14+AL14+AN14+AP14+AR14+AT14+AX14+AV14+BL14+T14+BN14+BP14</f>
        <v>0</v>
      </c>
      <c r="BS14" s="41">
        <f t="shared" si="14"/>
        <v>0</v>
      </c>
      <c r="BT14" s="42"/>
      <c r="BU14" s="42"/>
      <c r="BV14" s="43" t="str">
        <f t="shared" si="3"/>
        <v/>
      </c>
      <c r="BW14" s="44" t="str">
        <f t="shared" si="4"/>
        <v/>
      </c>
      <c r="BX14" s="45" t="str">
        <f t="shared" si="5"/>
        <v/>
      </c>
    </row>
    <row r="15" ht="12.0" customHeight="1">
      <c r="A15" s="101"/>
      <c r="B15" s="29"/>
      <c r="C15" s="30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5"/>
      <c r="AP15" s="36"/>
      <c r="AQ15" s="35"/>
      <c r="AR15" s="36"/>
      <c r="AS15" s="35"/>
      <c r="AT15" s="36"/>
      <c r="AU15" s="35"/>
      <c r="AV15" s="36"/>
      <c r="AW15" s="35"/>
      <c r="AX15" s="36"/>
      <c r="AY15" s="37"/>
      <c r="AZ15" s="38"/>
      <c r="BA15" s="39"/>
      <c r="BB15" s="38"/>
      <c r="BC15" s="39"/>
      <c r="BD15" s="38"/>
      <c r="BE15" s="39"/>
      <c r="BF15" s="38"/>
      <c r="BG15" s="39"/>
      <c r="BH15" s="38"/>
      <c r="BI15" s="39"/>
      <c r="BJ15" s="38"/>
      <c r="BK15" s="39"/>
      <c r="BL15" s="38"/>
      <c r="BM15" s="39"/>
      <c r="BN15" s="38"/>
      <c r="BO15" s="39"/>
      <c r="BP15" s="38"/>
      <c r="BQ15" s="39"/>
      <c r="BR15" s="40">
        <f t="shared" ref="BR15:BS15" si="15">D15+F15+H15+J15+L15+N15+V15+X15+Z15+AB15+AD15+AF15+AZ15+BB15+BD15+BF15+BH15+AH15+P15+R15+AJ15+BJ15+AL15+AN15+AP15+AR15+AT15+AX15+AV15+BL15+T15+BN15+BP15</f>
        <v>0</v>
      </c>
      <c r="BS15" s="41">
        <f t="shared" si="15"/>
        <v>0</v>
      </c>
      <c r="BT15" s="42"/>
      <c r="BU15" s="42"/>
      <c r="BV15" s="43" t="str">
        <f t="shared" si="3"/>
        <v/>
      </c>
      <c r="BW15" s="44" t="str">
        <f t="shared" si="4"/>
        <v/>
      </c>
      <c r="BX15" s="45" t="str">
        <f t="shared" si="5"/>
        <v/>
      </c>
    </row>
    <row r="16" ht="12.0" customHeight="1">
      <c r="A16" s="101"/>
      <c r="B16" s="29"/>
      <c r="C16" s="30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/>
      <c r="AM16" s="35"/>
      <c r="AN16" s="36"/>
      <c r="AO16" s="35"/>
      <c r="AP16" s="36"/>
      <c r="AQ16" s="35"/>
      <c r="AR16" s="36"/>
      <c r="AS16" s="35"/>
      <c r="AT16" s="36"/>
      <c r="AU16" s="35"/>
      <c r="AV16" s="36"/>
      <c r="AW16" s="35"/>
      <c r="AX16" s="36"/>
      <c r="AY16" s="37"/>
      <c r="AZ16" s="38"/>
      <c r="BA16" s="39"/>
      <c r="BB16" s="38"/>
      <c r="BC16" s="39"/>
      <c r="BD16" s="38"/>
      <c r="BE16" s="39"/>
      <c r="BF16" s="38"/>
      <c r="BG16" s="39"/>
      <c r="BH16" s="38"/>
      <c r="BI16" s="39"/>
      <c r="BJ16" s="38"/>
      <c r="BK16" s="39"/>
      <c r="BL16" s="38"/>
      <c r="BM16" s="39"/>
      <c r="BN16" s="38"/>
      <c r="BO16" s="39"/>
      <c r="BP16" s="38"/>
      <c r="BQ16" s="39"/>
      <c r="BR16" s="40">
        <f t="shared" ref="BR16:BS16" si="16">D16+F16+H16+J16+L16+N16+V16+X16+Z16+AB16+AD16+AF16+AZ16+BB16+BD16+BF16+BH16+AH16+P16+R16+AJ16+BJ16+AL16+AN16+AP16+AR16+AT16+AX16+AV16+BL16+T16+BN16+BP16</f>
        <v>0</v>
      </c>
      <c r="BS16" s="41">
        <f t="shared" si="16"/>
        <v>0</v>
      </c>
      <c r="BT16" s="42"/>
      <c r="BU16" s="42"/>
      <c r="BV16" s="43" t="str">
        <f t="shared" si="3"/>
        <v/>
      </c>
      <c r="BW16" s="44" t="str">
        <f t="shared" si="4"/>
        <v/>
      </c>
      <c r="BX16" s="45" t="str">
        <f t="shared" si="5"/>
        <v/>
      </c>
    </row>
    <row r="17" ht="12.0" customHeight="1">
      <c r="A17" s="101"/>
      <c r="B17" s="29"/>
      <c r="C17" s="30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36"/>
      <c r="AQ17" s="35"/>
      <c r="AR17" s="36"/>
      <c r="AS17" s="35"/>
      <c r="AT17" s="36"/>
      <c r="AU17" s="35"/>
      <c r="AV17" s="36"/>
      <c r="AW17" s="35"/>
      <c r="AX17" s="36"/>
      <c r="AY17" s="37"/>
      <c r="AZ17" s="38"/>
      <c r="BA17" s="39"/>
      <c r="BB17" s="38"/>
      <c r="BC17" s="39"/>
      <c r="BD17" s="38"/>
      <c r="BE17" s="39"/>
      <c r="BF17" s="38"/>
      <c r="BG17" s="39"/>
      <c r="BH17" s="38"/>
      <c r="BI17" s="39"/>
      <c r="BJ17" s="38"/>
      <c r="BK17" s="39"/>
      <c r="BL17" s="38"/>
      <c r="BM17" s="39"/>
      <c r="BN17" s="38"/>
      <c r="BO17" s="39"/>
      <c r="BP17" s="38"/>
      <c r="BQ17" s="39"/>
      <c r="BR17" s="40">
        <f t="shared" ref="BR17:BS17" si="17">D17+F17+H17+J17+L17+N17+V17+X17+Z17+AB17+AD17+AF17+AZ17+BB17+BD17+BF17+BH17+AH17+P17+R17+AJ17+BJ17+AL17+AN17+AP17+AR17+AT17+AX17+AV17+BL17+T17+BN17+BP17</f>
        <v>0</v>
      </c>
      <c r="BS17" s="41">
        <f t="shared" si="17"/>
        <v>0</v>
      </c>
      <c r="BT17" s="42"/>
      <c r="BU17" s="42"/>
      <c r="BV17" s="43" t="str">
        <f t="shared" si="3"/>
        <v/>
      </c>
      <c r="BW17" s="44" t="str">
        <f t="shared" si="4"/>
        <v/>
      </c>
      <c r="BX17" s="45" t="str">
        <f t="shared" si="5"/>
        <v/>
      </c>
    </row>
    <row r="18" ht="12.0" customHeight="1">
      <c r="A18" s="101"/>
      <c r="B18" s="29"/>
      <c r="C18" s="30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5"/>
      <c r="AR18" s="36"/>
      <c r="AS18" s="35"/>
      <c r="AT18" s="36"/>
      <c r="AU18" s="35"/>
      <c r="AV18" s="36"/>
      <c r="AW18" s="35"/>
      <c r="AX18" s="36"/>
      <c r="AY18" s="37"/>
      <c r="AZ18" s="38"/>
      <c r="BA18" s="39"/>
      <c r="BB18" s="38"/>
      <c r="BC18" s="39"/>
      <c r="BD18" s="38"/>
      <c r="BE18" s="39"/>
      <c r="BF18" s="38"/>
      <c r="BG18" s="39"/>
      <c r="BH18" s="38"/>
      <c r="BI18" s="39"/>
      <c r="BJ18" s="38"/>
      <c r="BK18" s="39"/>
      <c r="BL18" s="38"/>
      <c r="BM18" s="39"/>
      <c r="BN18" s="38"/>
      <c r="BO18" s="39"/>
      <c r="BP18" s="38"/>
      <c r="BQ18" s="39"/>
      <c r="BR18" s="40">
        <f t="shared" ref="BR18:BS18" si="18">D18+F18+H18+J18+L18+N18+V18+X18+Z18+AB18+AD18+AF18+AZ18+BB18+BD18+BF18+BH18+AH18+P18+R18+AJ18+BJ18+AL18+AN18+AP18+AR18+AT18+AX18+AV18+BL18+T18+BN18+BP18</f>
        <v>0</v>
      </c>
      <c r="BS18" s="41">
        <f t="shared" si="18"/>
        <v>0</v>
      </c>
      <c r="BT18" s="42"/>
      <c r="BU18" s="42"/>
      <c r="BV18" s="43" t="str">
        <f t="shared" si="3"/>
        <v/>
      </c>
      <c r="BW18" s="44" t="str">
        <f t="shared" si="4"/>
        <v/>
      </c>
      <c r="BX18" s="45" t="str">
        <f t="shared" si="5"/>
        <v/>
      </c>
    </row>
    <row r="19" ht="12.0" customHeight="1">
      <c r="A19" s="101"/>
      <c r="B19" s="29"/>
      <c r="C19" s="30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5"/>
      <c r="AP19" s="36"/>
      <c r="AQ19" s="35"/>
      <c r="AR19" s="36"/>
      <c r="AS19" s="35"/>
      <c r="AT19" s="36"/>
      <c r="AU19" s="35"/>
      <c r="AV19" s="36"/>
      <c r="AW19" s="35"/>
      <c r="AX19" s="36"/>
      <c r="AY19" s="37"/>
      <c r="AZ19" s="38"/>
      <c r="BA19" s="39"/>
      <c r="BB19" s="38"/>
      <c r="BC19" s="39"/>
      <c r="BD19" s="38"/>
      <c r="BE19" s="39"/>
      <c r="BF19" s="38"/>
      <c r="BG19" s="39"/>
      <c r="BH19" s="38"/>
      <c r="BI19" s="39"/>
      <c r="BJ19" s="38"/>
      <c r="BK19" s="39"/>
      <c r="BL19" s="38"/>
      <c r="BM19" s="39"/>
      <c r="BN19" s="38"/>
      <c r="BO19" s="39"/>
      <c r="BP19" s="38"/>
      <c r="BQ19" s="39"/>
      <c r="BR19" s="40">
        <f t="shared" ref="BR19:BS19" si="19">D19+F19+H19+J19+L19+N19+V19+X19+Z19+AB19+AD19+AF19+AZ19+BB19+BD19+BF19+BH19+AH19+P19+R19+AJ19+BJ19+AL19+AN19+AP19+AR19+AT19+AX19+AV19+BL19+T19+BN19+BP19</f>
        <v>0</v>
      </c>
      <c r="BS19" s="41">
        <f t="shared" si="19"/>
        <v>0</v>
      </c>
      <c r="BT19" s="42"/>
      <c r="BU19" s="42"/>
      <c r="BV19" s="43" t="str">
        <f t="shared" si="3"/>
        <v/>
      </c>
      <c r="BW19" s="44" t="str">
        <f t="shared" si="4"/>
        <v/>
      </c>
      <c r="BX19" s="45" t="str">
        <f t="shared" si="5"/>
        <v/>
      </c>
    </row>
    <row r="20" ht="12.0" customHeight="1">
      <c r="A20" s="101"/>
      <c r="B20" s="29"/>
      <c r="C20" s="30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/>
      <c r="AN20" s="36"/>
      <c r="AO20" s="35"/>
      <c r="AP20" s="36"/>
      <c r="AQ20" s="35"/>
      <c r="AR20" s="36"/>
      <c r="AS20" s="35"/>
      <c r="AT20" s="36"/>
      <c r="AU20" s="35"/>
      <c r="AV20" s="36"/>
      <c r="AW20" s="35"/>
      <c r="AX20" s="36"/>
      <c r="AY20" s="37"/>
      <c r="AZ20" s="38"/>
      <c r="BA20" s="39"/>
      <c r="BB20" s="38"/>
      <c r="BC20" s="39"/>
      <c r="BD20" s="38"/>
      <c r="BE20" s="39"/>
      <c r="BF20" s="38"/>
      <c r="BG20" s="39"/>
      <c r="BH20" s="38"/>
      <c r="BI20" s="39"/>
      <c r="BJ20" s="38"/>
      <c r="BK20" s="39"/>
      <c r="BL20" s="38"/>
      <c r="BM20" s="39"/>
      <c r="BN20" s="38"/>
      <c r="BO20" s="39"/>
      <c r="BP20" s="38"/>
      <c r="BQ20" s="39"/>
      <c r="BR20" s="40">
        <f t="shared" ref="BR20:BS20" si="20">D20+F20+H20+J20+L20+N20+V20+X20+Z20+AB20+AD20+AF20+AZ20+BB20+BD20+BF20+BH20+AH20+P20+R20+AJ20+BJ20+AL20+AN20+AP20+AR20+AT20+AX20+AV20+BL20+T20+BN20+BP20</f>
        <v>0</v>
      </c>
      <c r="BS20" s="41">
        <f t="shared" si="20"/>
        <v>0</v>
      </c>
      <c r="BT20" s="42"/>
      <c r="BU20" s="42"/>
      <c r="BV20" s="43" t="str">
        <f t="shared" si="3"/>
        <v/>
      </c>
      <c r="BW20" s="44" t="str">
        <f t="shared" si="4"/>
        <v/>
      </c>
      <c r="BX20" s="45" t="str">
        <f t="shared" si="5"/>
        <v/>
      </c>
    </row>
    <row r="21" ht="12.0" customHeight="1">
      <c r="A21" s="101"/>
      <c r="B21" s="29"/>
      <c r="C21" s="30"/>
      <c r="D21" s="33"/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5"/>
      <c r="AP21" s="36"/>
      <c r="AQ21" s="35"/>
      <c r="AR21" s="36"/>
      <c r="AS21" s="35"/>
      <c r="AT21" s="36"/>
      <c r="AU21" s="35"/>
      <c r="AV21" s="36"/>
      <c r="AW21" s="35"/>
      <c r="AX21" s="36"/>
      <c r="AY21" s="37"/>
      <c r="AZ21" s="38"/>
      <c r="BA21" s="39"/>
      <c r="BB21" s="38"/>
      <c r="BC21" s="39"/>
      <c r="BD21" s="38"/>
      <c r="BE21" s="39"/>
      <c r="BF21" s="38"/>
      <c r="BG21" s="39"/>
      <c r="BH21" s="38"/>
      <c r="BI21" s="39"/>
      <c r="BJ21" s="38"/>
      <c r="BK21" s="39"/>
      <c r="BL21" s="38"/>
      <c r="BM21" s="39"/>
      <c r="BN21" s="38"/>
      <c r="BO21" s="39"/>
      <c r="BP21" s="38"/>
      <c r="BQ21" s="39"/>
      <c r="BR21" s="40">
        <f t="shared" ref="BR21:BS21" si="21">D21+F21+H21+J21+L21+N21+V21+X21+Z21+AB21+AD21+AF21+AZ21+BB21+BD21+BF21+BH21+AH21+P21+R21+AJ21+BJ21+AL21+AN21+AP21+AR21+AT21+AX21+AV21+BL21+T21+BN21+BP21</f>
        <v>0</v>
      </c>
      <c r="BS21" s="41">
        <f t="shared" si="21"/>
        <v>0</v>
      </c>
      <c r="BT21" s="42"/>
      <c r="BU21" s="42"/>
      <c r="BV21" s="43" t="str">
        <f t="shared" si="3"/>
        <v/>
      </c>
      <c r="BW21" s="44" t="str">
        <f t="shared" si="4"/>
        <v/>
      </c>
      <c r="BX21" s="45" t="str">
        <f t="shared" si="5"/>
        <v/>
      </c>
    </row>
    <row r="22" ht="12.0" customHeight="1">
      <c r="A22" s="101"/>
      <c r="B22" s="29"/>
      <c r="C22" s="30"/>
      <c r="D22" s="33"/>
      <c r="E22" s="32"/>
      <c r="F22" s="33"/>
      <c r="G22" s="32"/>
      <c r="H22" s="33"/>
      <c r="I22" s="32"/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5"/>
      <c r="AP22" s="36"/>
      <c r="AQ22" s="35"/>
      <c r="AR22" s="36"/>
      <c r="AS22" s="35"/>
      <c r="AT22" s="36"/>
      <c r="AU22" s="35"/>
      <c r="AV22" s="36"/>
      <c r="AW22" s="35"/>
      <c r="AX22" s="36"/>
      <c r="AY22" s="37"/>
      <c r="AZ22" s="38"/>
      <c r="BA22" s="39"/>
      <c r="BB22" s="38"/>
      <c r="BC22" s="39"/>
      <c r="BD22" s="38"/>
      <c r="BE22" s="39"/>
      <c r="BF22" s="38"/>
      <c r="BG22" s="39"/>
      <c r="BH22" s="38"/>
      <c r="BI22" s="39"/>
      <c r="BJ22" s="38"/>
      <c r="BK22" s="39"/>
      <c r="BL22" s="38"/>
      <c r="BM22" s="39"/>
      <c r="BN22" s="38"/>
      <c r="BO22" s="39"/>
      <c r="BP22" s="38"/>
      <c r="BQ22" s="39"/>
      <c r="BR22" s="40">
        <f t="shared" ref="BR22:BS22" si="22">D22+F22+H22+J22+L22+N22+V22+X22+Z22+AB22+AD22+AF22+AZ22+BB22+BD22+BF22+BH22+AH22+P22+R22+AJ22+BJ22+AL22+AN22+AP22+AR22+AT22+AX22+AV22+BL22+T22+BN22+BP22</f>
        <v>0</v>
      </c>
      <c r="BS22" s="41">
        <f t="shared" si="22"/>
        <v>0</v>
      </c>
      <c r="BT22" s="42"/>
      <c r="BU22" s="42"/>
      <c r="BV22" s="43" t="str">
        <f t="shared" si="3"/>
        <v/>
      </c>
      <c r="BW22" s="44" t="str">
        <f t="shared" si="4"/>
        <v/>
      </c>
      <c r="BX22" s="45" t="str">
        <f t="shared" si="5"/>
        <v/>
      </c>
    </row>
    <row r="23" ht="12.0" customHeight="1">
      <c r="A23" s="101"/>
      <c r="B23" s="29"/>
      <c r="C23" s="30"/>
      <c r="D23" s="33"/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5"/>
      <c r="AP23" s="36"/>
      <c r="AQ23" s="35"/>
      <c r="AR23" s="36"/>
      <c r="AS23" s="35"/>
      <c r="AT23" s="36"/>
      <c r="AU23" s="35"/>
      <c r="AV23" s="36"/>
      <c r="AW23" s="35"/>
      <c r="AX23" s="36"/>
      <c r="AY23" s="37"/>
      <c r="AZ23" s="38"/>
      <c r="BA23" s="39"/>
      <c r="BB23" s="38"/>
      <c r="BC23" s="39"/>
      <c r="BD23" s="38"/>
      <c r="BE23" s="39"/>
      <c r="BF23" s="38"/>
      <c r="BG23" s="39"/>
      <c r="BH23" s="38"/>
      <c r="BI23" s="39"/>
      <c r="BJ23" s="38"/>
      <c r="BK23" s="39"/>
      <c r="BL23" s="38"/>
      <c r="BM23" s="39"/>
      <c r="BN23" s="38"/>
      <c r="BO23" s="39"/>
      <c r="BP23" s="38"/>
      <c r="BQ23" s="39"/>
      <c r="BR23" s="40">
        <f t="shared" ref="BR23:BS23" si="23">D23+F23+H23+J23+L23+N23+V23+X23+Z23+AB23+AD23+AF23+AZ23+BB23+BD23+BF23+BH23+AH23+P23+R23+AJ23+BJ23+AL23+AN23+AP23+AR23+AT23+AX23+AV23+BL23+T23+BN23+BP23</f>
        <v>0</v>
      </c>
      <c r="BS23" s="41">
        <f t="shared" si="23"/>
        <v>0</v>
      </c>
      <c r="BT23" s="42"/>
      <c r="BU23" s="42"/>
      <c r="BV23" s="43" t="str">
        <f t="shared" si="3"/>
        <v/>
      </c>
      <c r="BW23" s="44" t="str">
        <f t="shared" si="4"/>
        <v/>
      </c>
      <c r="BX23" s="45" t="str">
        <f t="shared" si="5"/>
        <v/>
      </c>
    </row>
    <row r="24" ht="12.0" customHeight="1">
      <c r="A24" s="101"/>
      <c r="B24" s="29"/>
      <c r="C24" s="30"/>
      <c r="D24" s="33"/>
      <c r="E24" s="32"/>
      <c r="F24" s="33"/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32"/>
      <c r="V24" s="33"/>
      <c r="W24" s="32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5"/>
      <c r="AP24" s="36"/>
      <c r="AQ24" s="35"/>
      <c r="AR24" s="36"/>
      <c r="AS24" s="35"/>
      <c r="AT24" s="36"/>
      <c r="AU24" s="35"/>
      <c r="AV24" s="36"/>
      <c r="AW24" s="35"/>
      <c r="AX24" s="36"/>
      <c r="AY24" s="37"/>
      <c r="AZ24" s="38"/>
      <c r="BA24" s="39"/>
      <c r="BB24" s="38"/>
      <c r="BC24" s="39"/>
      <c r="BD24" s="38"/>
      <c r="BE24" s="39"/>
      <c r="BF24" s="38"/>
      <c r="BG24" s="39"/>
      <c r="BH24" s="38"/>
      <c r="BI24" s="39"/>
      <c r="BJ24" s="38"/>
      <c r="BK24" s="39"/>
      <c r="BL24" s="38"/>
      <c r="BM24" s="39"/>
      <c r="BN24" s="38"/>
      <c r="BO24" s="39"/>
      <c r="BP24" s="38"/>
      <c r="BQ24" s="39"/>
      <c r="BR24" s="40">
        <f t="shared" ref="BR24:BS24" si="24">D24+F24+H24+J24+L24+N24+V24+X24+Z24+AB24+AD24+AF24+AZ24+BB24+BD24+BF24+BH24+AH24+P24+R24+AJ24+BJ24+AL24+AN24+AP24+AR24+AT24+AX24+AV24+BL24+T24+BN24+BP24</f>
        <v>0</v>
      </c>
      <c r="BS24" s="41">
        <f t="shared" si="24"/>
        <v>0</v>
      </c>
      <c r="BT24" s="42"/>
      <c r="BU24" s="42"/>
      <c r="BV24" s="43" t="str">
        <f t="shared" si="3"/>
        <v/>
      </c>
      <c r="BW24" s="44" t="str">
        <f t="shared" si="4"/>
        <v/>
      </c>
      <c r="BX24" s="45" t="str">
        <f t="shared" si="5"/>
        <v/>
      </c>
    </row>
    <row r="25" ht="12.0" customHeight="1">
      <c r="A25" s="101"/>
      <c r="B25" s="29"/>
      <c r="C25" s="30"/>
      <c r="D25" s="33"/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33"/>
      <c r="U25" s="32"/>
      <c r="V25" s="33"/>
      <c r="W25" s="32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5"/>
      <c r="AP25" s="36"/>
      <c r="AQ25" s="35"/>
      <c r="AR25" s="36"/>
      <c r="AS25" s="35"/>
      <c r="AT25" s="36"/>
      <c r="AU25" s="35"/>
      <c r="AV25" s="36"/>
      <c r="AW25" s="35"/>
      <c r="AX25" s="36"/>
      <c r="AY25" s="37"/>
      <c r="AZ25" s="38"/>
      <c r="BA25" s="39"/>
      <c r="BB25" s="38"/>
      <c r="BC25" s="39"/>
      <c r="BD25" s="38"/>
      <c r="BE25" s="39"/>
      <c r="BF25" s="38"/>
      <c r="BG25" s="39"/>
      <c r="BH25" s="38"/>
      <c r="BI25" s="39"/>
      <c r="BJ25" s="38"/>
      <c r="BK25" s="39"/>
      <c r="BL25" s="38"/>
      <c r="BM25" s="39"/>
      <c r="BN25" s="38"/>
      <c r="BO25" s="39"/>
      <c r="BP25" s="38"/>
      <c r="BQ25" s="39"/>
      <c r="BR25" s="40">
        <f t="shared" ref="BR25:BS25" si="25">D25+F25+H25+J25+L25+N25+V25+X25+Z25+AB25+AD25+AF25+AZ25+BB25+BD25+BF25+BH25+AH25+P25+R25+AJ25+BJ25+AL25+AN25+AP25+AR25+AT25+AX25+AV25+BL25+T25+BN25+BP25</f>
        <v>0</v>
      </c>
      <c r="BS25" s="41">
        <f t="shared" si="25"/>
        <v>0</v>
      </c>
      <c r="BT25" s="42"/>
      <c r="BU25" s="42"/>
      <c r="BV25" s="43" t="str">
        <f t="shared" si="3"/>
        <v/>
      </c>
      <c r="BW25" s="44" t="str">
        <f t="shared" si="4"/>
        <v/>
      </c>
      <c r="BX25" s="45" t="str">
        <f t="shared" si="5"/>
        <v/>
      </c>
    </row>
    <row r="26" ht="12.0" customHeight="1">
      <c r="A26" s="101"/>
      <c r="B26" s="29"/>
      <c r="C26" s="30"/>
      <c r="D26" s="33"/>
      <c r="E26" s="3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32"/>
      <c r="V26" s="33"/>
      <c r="W26" s="32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5"/>
      <c r="AP26" s="36"/>
      <c r="AQ26" s="35"/>
      <c r="AR26" s="36"/>
      <c r="AS26" s="35"/>
      <c r="AT26" s="36"/>
      <c r="AU26" s="35"/>
      <c r="AV26" s="36"/>
      <c r="AW26" s="35"/>
      <c r="AX26" s="36"/>
      <c r="AY26" s="37"/>
      <c r="AZ26" s="38"/>
      <c r="BA26" s="39"/>
      <c r="BB26" s="38"/>
      <c r="BC26" s="39"/>
      <c r="BD26" s="38"/>
      <c r="BE26" s="39"/>
      <c r="BF26" s="38"/>
      <c r="BG26" s="39"/>
      <c r="BH26" s="38"/>
      <c r="BI26" s="39"/>
      <c r="BJ26" s="38"/>
      <c r="BK26" s="39"/>
      <c r="BL26" s="38"/>
      <c r="BM26" s="39"/>
      <c r="BN26" s="38"/>
      <c r="BO26" s="39"/>
      <c r="BP26" s="38"/>
      <c r="BQ26" s="39"/>
      <c r="BR26" s="40">
        <f t="shared" ref="BR26:BS26" si="26">D26+F26+H26+J26+L26+N26+V26+X26+Z26+AB26+AD26+AF26+AZ26+BB26+BD26+BF26+BH26+AH26+P26+R26+AJ26+BJ26+AL26+AN26+AP26+AR26+AT26+AX26+AV26+BL26+T26+BN26+BP26</f>
        <v>0</v>
      </c>
      <c r="BS26" s="41">
        <f t="shared" si="26"/>
        <v>0</v>
      </c>
      <c r="BT26" s="42"/>
      <c r="BU26" s="42"/>
      <c r="BV26" s="43" t="str">
        <f t="shared" si="3"/>
        <v/>
      </c>
      <c r="BW26" s="44" t="str">
        <f t="shared" si="4"/>
        <v/>
      </c>
      <c r="BX26" s="45" t="str">
        <f t="shared" si="5"/>
        <v/>
      </c>
    </row>
    <row r="27" ht="12.0" customHeight="1">
      <c r="A27" s="101"/>
      <c r="B27" s="29"/>
      <c r="C27" s="30"/>
      <c r="D27" s="33"/>
      <c r="E27" s="3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3"/>
      <c r="U27" s="32"/>
      <c r="V27" s="33"/>
      <c r="W27" s="32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/>
      <c r="AO27" s="35"/>
      <c r="AP27" s="36"/>
      <c r="AQ27" s="35"/>
      <c r="AR27" s="36"/>
      <c r="AS27" s="35"/>
      <c r="AT27" s="36"/>
      <c r="AU27" s="35"/>
      <c r="AV27" s="36"/>
      <c r="AW27" s="35"/>
      <c r="AX27" s="36"/>
      <c r="AY27" s="37"/>
      <c r="AZ27" s="38"/>
      <c r="BA27" s="39"/>
      <c r="BB27" s="38"/>
      <c r="BC27" s="39"/>
      <c r="BD27" s="38"/>
      <c r="BE27" s="39"/>
      <c r="BF27" s="38"/>
      <c r="BG27" s="39"/>
      <c r="BH27" s="38"/>
      <c r="BI27" s="39"/>
      <c r="BJ27" s="38"/>
      <c r="BK27" s="39"/>
      <c r="BL27" s="38"/>
      <c r="BM27" s="39"/>
      <c r="BN27" s="38"/>
      <c r="BO27" s="39"/>
      <c r="BP27" s="38"/>
      <c r="BQ27" s="39"/>
      <c r="BR27" s="40">
        <f t="shared" ref="BR27:BS27" si="27">D27+F27+H27+J27+L27+N27+V27+X27+Z27+AB27+AD27+AF27+AZ27+BB27+BD27+BF27+BH27+AH27+P27+R27+AJ27+BJ27+AL27+AN27+AP27+AR27+AT27+AX27+AV27+BL27+T27+BN27+BP27</f>
        <v>0</v>
      </c>
      <c r="BS27" s="41">
        <f t="shared" si="27"/>
        <v>0</v>
      </c>
      <c r="BT27" s="42"/>
      <c r="BU27" s="42"/>
      <c r="BV27" s="43" t="str">
        <f t="shared" si="3"/>
        <v/>
      </c>
      <c r="BW27" s="44" t="str">
        <f t="shared" si="4"/>
        <v/>
      </c>
      <c r="BX27" s="45" t="str">
        <f t="shared" si="5"/>
        <v/>
      </c>
    </row>
    <row r="28" ht="12.0" customHeight="1">
      <c r="A28" s="101"/>
      <c r="B28" s="29"/>
      <c r="C28" s="30"/>
      <c r="D28" s="33"/>
      <c r="E28" s="32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3"/>
      <c r="U28" s="32"/>
      <c r="V28" s="33"/>
      <c r="W28" s="32"/>
      <c r="X28" s="36"/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5"/>
      <c r="AP28" s="36"/>
      <c r="AQ28" s="35"/>
      <c r="AR28" s="36"/>
      <c r="AS28" s="35"/>
      <c r="AT28" s="36"/>
      <c r="AU28" s="35"/>
      <c r="AV28" s="36"/>
      <c r="AW28" s="35"/>
      <c r="AX28" s="36"/>
      <c r="AY28" s="37"/>
      <c r="AZ28" s="38"/>
      <c r="BA28" s="39"/>
      <c r="BB28" s="38"/>
      <c r="BC28" s="39"/>
      <c r="BD28" s="38"/>
      <c r="BE28" s="39"/>
      <c r="BF28" s="38"/>
      <c r="BG28" s="39"/>
      <c r="BH28" s="38"/>
      <c r="BI28" s="39"/>
      <c r="BJ28" s="38"/>
      <c r="BK28" s="39"/>
      <c r="BL28" s="38"/>
      <c r="BM28" s="39"/>
      <c r="BN28" s="38"/>
      <c r="BO28" s="39"/>
      <c r="BP28" s="38"/>
      <c r="BQ28" s="39"/>
      <c r="BR28" s="40">
        <f t="shared" ref="BR28:BS28" si="28">D28+F28+H28+J28+L28+N28+V28+X28+Z28+AB28+AD28+AF28+AZ28+BB28+BD28+BF28+BH28+AH28+P28+R28+AJ28+BJ28+AL28+AN28+AP28+AR28+AT28+AX28+AV28+BL28+T28+BN28+BP28</f>
        <v>0</v>
      </c>
      <c r="BS28" s="41">
        <f t="shared" si="28"/>
        <v>0</v>
      </c>
      <c r="BT28" s="42"/>
      <c r="BU28" s="42"/>
      <c r="BV28" s="43" t="str">
        <f t="shared" si="3"/>
        <v/>
      </c>
      <c r="BW28" s="44" t="str">
        <f t="shared" si="4"/>
        <v/>
      </c>
      <c r="BX28" s="45" t="str">
        <f t="shared" si="5"/>
        <v/>
      </c>
    </row>
    <row r="29" ht="12.0" customHeight="1">
      <c r="A29" s="101"/>
      <c r="B29" s="29"/>
      <c r="C29" s="30"/>
      <c r="D29" s="33"/>
      <c r="E29" s="3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3"/>
      <c r="U29" s="32"/>
      <c r="V29" s="33"/>
      <c r="W29" s="32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5"/>
      <c r="AP29" s="36"/>
      <c r="AQ29" s="35"/>
      <c r="AR29" s="36"/>
      <c r="AS29" s="35"/>
      <c r="AT29" s="36"/>
      <c r="AU29" s="35"/>
      <c r="AV29" s="36"/>
      <c r="AW29" s="35"/>
      <c r="AX29" s="36"/>
      <c r="AY29" s="37"/>
      <c r="AZ29" s="38"/>
      <c r="BA29" s="39"/>
      <c r="BB29" s="38"/>
      <c r="BC29" s="39"/>
      <c r="BD29" s="38"/>
      <c r="BE29" s="39"/>
      <c r="BF29" s="38"/>
      <c r="BG29" s="39"/>
      <c r="BH29" s="38"/>
      <c r="BI29" s="39"/>
      <c r="BJ29" s="38"/>
      <c r="BK29" s="39"/>
      <c r="BL29" s="38"/>
      <c r="BM29" s="39"/>
      <c r="BN29" s="38"/>
      <c r="BO29" s="39"/>
      <c r="BP29" s="38"/>
      <c r="BQ29" s="39"/>
      <c r="BR29" s="40">
        <f t="shared" ref="BR29:BS29" si="29">D29+F29+H29+J29+L29+N29+V29+X29+Z29+AB29+AD29+AF29+AZ29+BB29+BD29+BF29+BH29+AH29+P29+R29+AJ29+BJ29+AL29+AN29+AP29+AR29+AT29+AX29+AV29+BL29+T29+BN29+BP29</f>
        <v>0</v>
      </c>
      <c r="BS29" s="41">
        <f t="shared" si="29"/>
        <v>0</v>
      </c>
      <c r="BT29" s="42"/>
      <c r="BU29" s="42"/>
      <c r="BV29" s="43" t="str">
        <f t="shared" si="3"/>
        <v/>
      </c>
      <c r="BW29" s="44" t="str">
        <f t="shared" si="4"/>
        <v/>
      </c>
      <c r="BX29" s="45" t="str">
        <f t="shared" si="5"/>
        <v/>
      </c>
    </row>
    <row r="30" ht="12.0" customHeight="1">
      <c r="A30" s="101"/>
      <c r="B30" s="29"/>
      <c r="C30" s="30"/>
      <c r="D30" s="33"/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  <c r="V30" s="33"/>
      <c r="W30" s="32"/>
      <c r="X30" s="36"/>
      <c r="Y30" s="35"/>
      <c r="Z30" s="36"/>
      <c r="AA30" s="35"/>
      <c r="AB30" s="36"/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5"/>
      <c r="AP30" s="36"/>
      <c r="AQ30" s="35"/>
      <c r="AR30" s="36"/>
      <c r="AS30" s="35"/>
      <c r="AT30" s="36"/>
      <c r="AU30" s="35"/>
      <c r="AV30" s="36"/>
      <c r="AW30" s="35"/>
      <c r="AX30" s="36"/>
      <c r="AY30" s="37"/>
      <c r="AZ30" s="38"/>
      <c r="BA30" s="39"/>
      <c r="BB30" s="38"/>
      <c r="BC30" s="39"/>
      <c r="BD30" s="38"/>
      <c r="BE30" s="39"/>
      <c r="BF30" s="38"/>
      <c r="BG30" s="39"/>
      <c r="BH30" s="38"/>
      <c r="BI30" s="39"/>
      <c r="BJ30" s="38"/>
      <c r="BK30" s="39"/>
      <c r="BL30" s="38"/>
      <c r="BM30" s="39"/>
      <c r="BN30" s="38"/>
      <c r="BO30" s="39"/>
      <c r="BP30" s="38"/>
      <c r="BQ30" s="39"/>
      <c r="BR30" s="40">
        <f t="shared" ref="BR30:BS30" si="30">D30+F30+H30+J30+L30+N30+V30+X30+Z30+AB30+AD30+AF30+AZ30+BB30+BD30+BF30+BH30+AH30+P30+R30+AJ30+BJ30+AL30+AN30+AP30+AR30+AT30+AX30+AV30+BL30+T30+BN30+BP30</f>
        <v>0</v>
      </c>
      <c r="BS30" s="41">
        <f t="shared" si="30"/>
        <v>0</v>
      </c>
      <c r="BT30" s="42"/>
      <c r="BU30" s="42"/>
      <c r="BV30" s="43" t="str">
        <f t="shared" si="3"/>
        <v/>
      </c>
      <c r="BW30" s="44" t="str">
        <f t="shared" si="4"/>
        <v/>
      </c>
      <c r="BX30" s="45" t="str">
        <f t="shared" si="5"/>
        <v/>
      </c>
    </row>
    <row r="31" ht="12.0" customHeight="1">
      <c r="A31" s="101"/>
      <c r="B31" s="29"/>
      <c r="C31" s="30"/>
      <c r="D31" s="33"/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  <c r="V31" s="33"/>
      <c r="W31" s="32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5"/>
      <c r="AP31" s="36"/>
      <c r="AQ31" s="35"/>
      <c r="AR31" s="36"/>
      <c r="AS31" s="35"/>
      <c r="AT31" s="36"/>
      <c r="AU31" s="35"/>
      <c r="AV31" s="36"/>
      <c r="AW31" s="35"/>
      <c r="AX31" s="36"/>
      <c r="AY31" s="37"/>
      <c r="AZ31" s="38"/>
      <c r="BA31" s="39"/>
      <c r="BB31" s="38"/>
      <c r="BC31" s="39"/>
      <c r="BD31" s="38"/>
      <c r="BE31" s="39"/>
      <c r="BF31" s="38"/>
      <c r="BG31" s="39"/>
      <c r="BH31" s="38"/>
      <c r="BI31" s="39"/>
      <c r="BJ31" s="38"/>
      <c r="BK31" s="39"/>
      <c r="BL31" s="38"/>
      <c r="BM31" s="39"/>
      <c r="BN31" s="38"/>
      <c r="BO31" s="39"/>
      <c r="BP31" s="38"/>
      <c r="BQ31" s="39"/>
      <c r="BR31" s="40">
        <f t="shared" ref="BR31:BS31" si="31">D31+F31+H31+J31+L31+N31+V31+X31+Z31+AB31+AD31+AF31+AZ31+BB31+BD31+BF31+BH31+AH31+P31+R31+AJ31+BJ31+AL31+AN31+AP31+AR31+AT31+AX31+AV31+BL31+T31+BN31+BP31</f>
        <v>0</v>
      </c>
      <c r="BS31" s="41">
        <f t="shared" si="31"/>
        <v>0</v>
      </c>
      <c r="BT31" s="42"/>
      <c r="BU31" s="42"/>
      <c r="BV31" s="43" t="str">
        <f t="shared" si="3"/>
        <v/>
      </c>
      <c r="BW31" s="44" t="str">
        <f t="shared" si="4"/>
        <v/>
      </c>
      <c r="BX31" s="45" t="str">
        <f t="shared" si="5"/>
        <v/>
      </c>
    </row>
    <row r="32" ht="12.0" customHeight="1">
      <c r="A32" s="101"/>
      <c r="B32" s="29"/>
      <c r="C32" s="30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5"/>
      <c r="AP32" s="36"/>
      <c r="AQ32" s="35"/>
      <c r="AR32" s="36"/>
      <c r="AS32" s="35"/>
      <c r="AT32" s="36"/>
      <c r="AU32" s="35"/>
      <c r="AV32" s="36"/>
      <c r="AW32" s="35"/>
      <c r="AX32" s="36"/>
      <c r="AY32" s="37"/>
      <c r="AZ32" s="38"/>
      <c r="BA32" s="39"/>
      <c r="BB32" s="38"/>
      <c r="BC32" s="39"/>
      <c r="BD32" s="38"/>
      <c r="BE32" s="39"/>
      <c r="BF32" s="38"/>
      <c r="BG32" s="39"/>
      <c r="BH32" s="38"/>
      <c r="BI32" s="39"/>
      <c r="BJ32" s="38"/>
      <c r="BK32" s="39"/>
      <c r="BL32" s="38"/>
      <c r="BM32" s="39"/>
      <c r="BN32" s="38"/>
      <c r="BO32" s="39"/>
      <c r="BP32" s="38"/>
      <c r="BQ32" s="39"/>
      <c r="BR32" s="40">
        <f t="shared" ref="BR32:BS32" si="32">D32+F32+H32+J32+L32+N32+V32+X32+Z32+AB32+AD32+AF32+AZ32+BB32+BD32+BF32+BH32+AH32+P32+R32+AJ32+BJ32+AL32+AN32+AP32+AR32+AT32+AX32+AV32+BL32+T32+BN32+BP32</f>
        <v>0</v>
      </c>
      <c r="BS32" s="41">
        <f t="shared" si="32"/>
        <v>0</v>
      </c>
      <c r="BT32" s="42"/>
      <c r="BU32" s="42"/>
      <c r="BV32" s="43" t="str">
        <f t="shared" si="3"/>
        <v/>
      </c>
      <c r="BW32" s="44" t="str">
        <f t="shared" si="4"/>
        <v/>
      </c>
      <c r="BX32" s="45" t="str">
        <f t="shared" si="5"/>
        <v/>
      </c>
    </row>
    <row r="33" ht="12.0" customHeight="1">
      <c r="A33" s="101"/>
      <c r="B33" s="29"/>
      <c r="C33" s="30"/>
      <c r="D33" s="33"/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  <c r="V33" s="33"/>
      <c r="W33" s="32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/>
      <c r="AN33" s="36"/>
      <c r="AO33" s="35"/>
      <c r="AP33" s="36"/>
      <c r="AQ33" s="35"/>
      <c r="AR33" s="36"/>
      <c r="AS33" s="35"/>
      <c r="AT33" s="36"/>
      <c r="AU33" s="35"/>
      <c r="AV33" s="36"/>
      <c r="AW33" s="35"/>
      <c r="AX33" s="36"/>
      <c r="AY33" s="37"/>
      <c r="AZ33" s="38"/>
      <c r="BA33" s="39"/>
      <c r="BB33" s="38"/>
      <c r="BC33" s="39"/>
      <c r="BD33" s="38"/>
      <c r="BE33" s="39"/>
      <c r="BF33" s="38"/>
      <c r="BG33" s="39"/>
      <c r="BH33" s="38"/>
      <c r="BI33" s="39"/>
      <c r="BJ33" s="38"/>
      <c r="BK33" s="39"/>
      <c r="BL33" s="38"/>
      <c r="BM33" s="39"/>
      <c r="BN33" s="38"/>
      <c r="BO33" s="39"/>
      <c r="BP33" s="38"/>
      <c r="BQ33" s="39"/>
      <c r="BR33" s="40">
        <f t="shared" ref="BR33:BS33" si="33">D33+F33+H33+J33+L33+N33+V33+X33+Z33+AB33+AD33+AF33+AZ33+BB33+BD33+BF33+BH33+AH33+P33+R33+AJ33+BJ33+AL33+AN33+AP33+AR33+AT33+AX33+AV33+BL33+T33+BN33+BP33</f>
        <v>0</v>
      </c>
      <c r="BS33" s="41">
        <f t="shared" si="33"/>
        <v>0</v>
      </c>
      <c r="BT33" s="42"/>
      <c r="BU33" s="42"/>
      <c r="BV33" s="43" t="str">
        <f t="shared" si="3"/>
        <v/>
      </c>
      <c r="BW33" s="44" t="str">
        <f t="shared" si="4"/>
        <v/>
      </c>
      <c r="BX33" s="45" t="str">
        <f t="shared" si="5"/>
        <v/>
      </c>
    </row>
    <row r="34" ht="12.0" customHeight="1">
      <c r="A34" s="101"/>
      <c r="B34" s="29"/>
      <c r="C34" s="30"/>
      <c r="D34" s="33"/>
      <c r="E34" s="32"/>
      <c r="F34" s="33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/>
      <c r="AN34" s="36"/>
      <c r="AO34" s="35"/>
      <c r="AP34" s="36"/>
      <c r="AQ34" s="35"/>
      <c r="AR34" s="36"/>
      <c r="AS34" s="35"/>
      <c r="AT34" s="36"/>
      <c r="AU34" s="35"/>
      <c r="AV34" s="36"/>
      <c r="AW34" s="35"/>
      <c r="AX34" s="36"/>
      <c r="AY34" s="37"/>
      <c r="AZ34" s="38"/>
      <c r="BA34" s="39"/>
      <c r="BB34" s="38"/>
      <c r="BC34" s="39"/>
      <c r="BD34" s="38"/>
      <c r="BE34" s="39"/>
      <c r="BF34" s="38"/>
      <c r="BG34" s="39"/>
      <c r="BH34" s="38"/>
      <c r="BI34" s="39"/>
      <c r="BJ34" s="38"/>
      <c r="BK34" s="39"/>
      <c r="BL34" s="38"/>
      <c r="BM34" s="39"/>
      <c r="BN34" s="38"/>
      <c r="BO34" s="39"/>
      <c r="BP34" s="38"/>
      <c r="BQ34" s="39"/>
      <c r="BR34" s="40">
        <f t="shared" ref="BR34:BS34" si="34">D34+F34+H34+J34+L34+N34+V34+X34+Z34+AB34+AD34+AF34+AZ34+BB34+BD34+BF34+BH34+AH34+P34+R34+AJ34+BJ34+AL34+AN34+AP34+AR34+AT34+AX34+AV34+BL34+T34+BN34+BP34</f>
        <v>0</v>
      </c>
      <c r="BS34" s="41">
        <f t="shared" si="34"/>
        <v>0</v>
      </c>
      <c r="BT34" s="42"/>
      <c r="BU34" s="42"/>
      <c r="BV34" s="43" t="str">
        <f t="shared" si="3"/>
        <v/>
      </c>
      <c r="BW34" s="44" t="str">
        <f t="shared" si="4"/>
        <v/>
      </c>
      <c r="BX34" s="45" t="str">
        <f t="shared" si="5"/>
        <v/>
      </c>
    </row>
    <row r="35" ht="12.0" customHeight="1">
      <c r="A35" s="101"/>
      <c r="B35" s="29"/>
      <c r="C35" s="30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5"/>
      <c r="AP35" s="36"/>
      <c r="AQ35" s="35"/>
      <c r="AR35" s="36"/>
      <c r="AS35" s="35"/>
      <c r="AT35" s="36"/>
      <c r="AU35" s="35"/>
      <c r="AV35" s="36"/>
      <c r="AW35" s="35"/>
      <c r="AX35" s="36"/>
      <c r="AY35" s="37"/>
      <c r="AZ35" s="38"/>
      <c r="BA35" s="39"/>
      <c r="BB35" s="38"/>
      <c r="BC35" s="39"/>
      <c r="BD35" s="38"/>
      <c r="BE35" s="39"/>
      <c r="BF35" s="38"/>
      <c r="BG35" s="39"/>
      <c r="BH35" s="38"/>
      <c r="BI35" s="39"/>
      <c r="BJ35" s="38"/>
      <c r="BK35" s="39"/>
      <c r="BL35" s="38"/>
      <c r="BM35" s="39"/>
      <c r="BN35" s="38"/>
      <c r="BO35" s="39"/>
      <c r="BP35" s="38"/>
      <c r="BQ35" s="39"/>
      <c r="BR35" s="40">
        <f t="shared" ref="BR35:BS35" si="35">D35+F35+H35+J35+L35+N35+V35+X35+Z35+AB35+AD35+AF35+AZ35+BB35+BD35+BF35+BH35+AH35+P35+R35+AJ35+BJ35+AL35+AN35+AP35+AR35+AT35+AX35+AV35+BL35+T35+BN35+BP35</f>
        <v>0</v>
      </c>
      <c r="BS35" s="41">
        <f t="shared" si="35"/>
        <v>0</v>
      </c>
      <c r="BT35" s="42"/>
      <c r="BU35" s="42"/>
      <c r="BV35" s="43" t="str">
        <f t="shared" si="3"/>
        <v/>
      </c>
      <c r="BW35" s="44" t="str">
        <f t="shared" si="4"/>
        <v/>
      </c>
      <c r="BX35" s="45" t="str">
        <f t="shared" si="5"/>
        <v/>
      </c>
    </row>
    <row r="36" ht="12.0" customHeight="1">
      <c r="A36" s="101"/>
      <c r="B36" s="29"/>
      <c r="C36" s="30"/>
      <c r="D36" s="33"/>
      <c r="E36" s="32"/>
      <c r="F36" s="33"/>
      <c r="G36" s="32"/>
      <c r="H36" s="33"/>
      <c r="I36" s="32"/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3"/>
      <c r="U36" s="32"/>
      <c r="V36" s="33"/>
      <c r="W36" s="32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5"/>
      <c r="AP36" s="36"/>
      <c r="AQ36" s="35"/>
      <c r="AR36" s="36"/>
      <c r="AS36" s="35"/>
      <c r="AT36" s="36"/>
      <c r="AU36" s="35"/>
      <c r="AV36" s="36"/>
      <c r="AW36" s="35"/>
      <c r="AX36" s="36"/>
      <c r="AY36" s="37"/>
      <c r="AZ36" s="38"/>
      <c r="BA36" s="39"/>
      <c r="BB36" s="38"/>
      <c r="BC36" s="39"/>
      <c r="BD36" s="38"/>
      <c r="BE36" s="39"/>
      <c r="BF36" s="38"/>
      <c r="BG36" s="39"/>
      <c r="BH36" s="38"/>
      <c r="BI36" s="39"/>
      <c r="BJ36" s="38"/>
      <c r="BK36" s="39"/>
      <c r="BL36" s="38"/>
      <c r="BM36" s="39"/>
      <c r="BN36" s="38"/>
      <c r="BO36" s="39"/>
      <c r="BP36" s="38"/>
      <c r="BQ36" s="39"/>
      <c r="BR36" s="40">
        <f t="shared" ref="BR36:BS36" si="36">D36+F36+H36+J36+L36+N36+V36+X36+Z36+AB36+AD36+AF36+AZ36+BB36+BD36+BF36+BH36+AH36+P36+R36+AJ36+BJ36+AL36+AN36+AP36+AR36+AT36+AX36+AV36+BL36+T36+BN36+BP36</f>
        <v>0</v>
      </c>
      <c r="BS36" s="41">
        <f t="shared" si="36"/>
        <v>0</v>
      </c>
      <c r="BT36" s="42"/>
      <c r="BU36" s="42"/>
      <c r="BV36" s="43" t="str">
        <f t="shared" si="3"/>
        <v/>
      </c>
      <c r="BW36" s="44" t="str">
        <f t="shared" si="4"/>
        <v/>
      </c>
      <c r="BX36" s="45" t="str">
        <f t="shared" si="5"/>
        <v/>
      </c>
    </row>
    <row r="37" ht="12.0" customHeight="1">
      <c r="A37" s="101"/>
      <c r="B37" s="29"/>
      <c r="C37" s="30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6"/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5"/>
      <c r="AP37" s="36"/>
      <c r="AQ37" s="35"/>
      <c r="AR37" s="36"/>
      <c r="AS37" s="35"/>
      <c r="AT37" s="36"/>
      <c r="AU37" s="35"/>
      <c r="AV37" s="36"/>
      <c r="AW37" s="35"/>
      <c r="AX37" s="36"/>
      <c r="AY37" s="37"/>
      <c r="AZ37" s="38"/>
      <c r="BA37" s="39"/>
      <c r="BB37" s="38"/>
      <c r="BC37" s="39"/>
      <c r="BD37" s="38"/>
      <c r="BE37" s="39"/>
      <c r="BF37" s="38"/>
      <c r="BG37" s="39"/>
      <c r="BH37" s="38"/>
      <c r="BI37" s="39"/>
      <c r="BJ37" s="38"/>
      <c r="BK37" s="39"/>
      <c r="BL37" s="38"/>
      <c r="BM37" s="39"/>
      <c r="BN37" s="38"/>
      <c r="BO37" s="39"/>
      <c r="BP37" s="38"/>
      <c r="BQ37" s="39"/>
      <c r="BR37" s="40">
        <f t="shared" ref="BR37:BS37" si="37">D37+F37+H37+J37+L37+N37+V37+X37+Z37+AB37+AD37+AF37+AZ37+BB37+BD37+BF37+BH37+AH37+P37+R37+AJ37+BJ37+AL37+AN37+AP37+AR37+AT37+AX37+AV37+BL37+T37+BN37+BP37</f>
        <v>0</v>
      </c>
      <c r="BS37" s="41">
        <f t="shared" si="37"/>
        <v>0</v>
      </c>
      <c r="BT37" s="42"/>
      <c r="BU37" s="42"/>
      <c r="BV37" s="43" t="str">
        <f t="shared" si="3"/>
        <v/>
      </c>
      <c r="BW37" s="44" t="str">
        <f t="shared" si="4"/>
        <v/>
      </c>
      <c r="BX37" s="45" t="str">
        <f t="shared" si="5"/>
        <v/>
      </c>
    </row>
    <row r="38" ht="12.0" customHeight="1">
      <c r="A38" s="101"/>
      <c r="B38" s="29"/>
      <c r="C38" s="30"/>
      <c r="D38" s="33"/>
      <c r="E38" s="32"/>
      <c r="F38" s="33"/>
      <c r="G38" s="32"/>
      <c r="H38" s="33"/>
      <c r="I38" s="32"/>
      <c r="J38" s="33"/>
      <c r="K38" s="32"/>
      <c r="L38" s="33"/>
      <c r="M38" s="32"/>
      <c r="N38" s="33"/>
      <c r="O38" s="32"/>
      <c r="P38" s="33"/>
      <c r="Q38" s="32"/>
      <c r="R38" s="33"/>
      <c r="S38" s="32"/>
      <c r="T38" s="33"/>
      <c r="U38" s="32"/>
      <c r="V38" s="33"/>
      <c r="W38" s="32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5"/>
      <c r="AP38" s="36"/>
      <c r="AQ38" s="35"/>
      <c r="AR38" s="36"/>
      <c r="AS38" s="35"/>
      <c r="AT38" s="36"/>
      <c r="AU38" s="35"/>
      <c r="AV38" s="36"/>
      <c r="AW38" s="35"/>
      <c r="AX38" s="36"/>
      <c r="AY38" s="37"/>
      <c r="AZ38" s="38"/>
      <c r="BA38" s="39"/>
      <c r="BB38" s="38"/>
      <c r="BC38" s="39"/>
      <c r="BD38" s="38"/>
      <c r="BE38" s="39"/>
      <c r="BF38" s="38"/>
      <c r="BG38" s="39"/>
      <c r="BH38" s="38"/>
      <c r="BI38" s="39"/>
      <c r="BJ38" s="38"/>
      <c r="BK38" s="39"/>
      <c r="BL38" s="38"/>
      <c r="BM38" s="39"/>
      <c r="BN38" s="38"/>
      <c r="BO38" s="39"/>
      <c r="BP38" s="38"/>
      <c r="BQ38" s="39"/>
      <c r="BR38" s="40">
        <f t="shared" ref="BR38:BS38" si="38">D38+F38+H38+J38+L38+N38+V38+X38+Z38+AB38+AD38+AF38+AZ38+BB38+BD38+BF38+BH38+AH38+P38+R38+AJ38+BJ38+AL38+AN38+AP38+AR38+AT38+AX38+AV38+BL38+T38+BN38+BP38</f>
        <v>0</v>
      </c>
      <c r="BS38" s="41">
        <f t="shared" si="38"/>
        <v>0</v>
      </c>
      <c r="BT38" s="42"/>
      <c r="BU38" s="42"/>
      <c r="BV38" s="43" t="str">
        <f t="shared" si="3"/>
        <v/>
      </c>
      <c r="BW38" s="44" t="str">
        <f t="shared" si="4"/>
        <v/>
      </c>
      <c r="BX38" s="45" t="str">
        <f t="shared" si="5"/>
        <v/>
      </c>
    </row>
    <row r="39" ht="12.0" customHeight="1">
      <c r="A39" s="101"/>
      <c r="B39" s="29"/>
      <c r="C39" s="30"/>
      <c r="D39" s="33"/>
      <c r="E39" s="32"/>
      <c r="F39" s="33"/>
      <c r="G39" s="32"/>
      <c r="H39" s="33"/>
      <c r="I39" s="32"/>
      <c r="J39" s="33"/>
      <c r="K39" s="32"/>
      <c r="L39" s="33"/>
      <c r="M39" s="32"/>
      <c r="N39" s="33"/>
      <c r="O39" s="32"/>
      <c r="P39" s="33"/>
      <c r="Q39" s="32"/>
      <c r="R39" s="33"/>
      <c r="S39" s="32"/>
      <c r="T39" s="33"/>
      <c r="U39" s="32"/>
      <c r="V39" s="33"/>
      <c r="W39" s="32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5"/>
      <c r="AP39" s="36"/>
      <c r="AQ39" s="35"/>
      <c r="AR39" s="36"/>
      <c r="AS39" s="35"/>
      <c r="AT39" s="36"/>
      <c r="AU39" s="35"/>
      <c r="AV39" s="36"/>
      <c r="AW39" s="35"/>
      <c r="AX39" s="36"/>
      <c r="AY39" s="37"/>
      <c r="AZ39" s="38"/>
      <c r="BA39" s="39"/>
      <c r="BB39" s="38"/>
      <c r="BC39" s="39"/>
      <c r="BD39" s="38"/>
      <c r="BE39" s="39"/>
      <c r="BF39" s="38"/>
      <c r="BG39" s="39"/>
      <c r="BH39" s="38"/>
      <c r="BI39" s="39"/>
      <c r="BJ39" s="38"/>
      <c r="BK39" s="39"/>
      <c r="BL39" s="38"/>
      <c r="BM39" s="39"/>
      <c r="BN39" s="38"/>
      <c r="BO39" s="39"/>
      <c r="BP39" s="38"/>
      <c r="BQ39" s="39"/>
      <c r="BR39" s="40">
        <f t="shared" ref="BR39:BS39" si="39">D39+F39+H39+J39+L39+N39+V39+X39+Z39+AB39+AD39+AF39+AZ39+BB39+BD39+BF39+BH39+AH39+P39+R39+AJ39+BJ39+AL39+AN39+AP39+AR39+AT39+AX39+AV39+BL39+T39+BN39+BP39</f>
        <v>0</v>
      </c>
      <c r="BS39" s="41">
        <f t="shared" si="39"/>
        <v>0</v>
      </c>
      <c r="BT39" s="42"/>
      <c r="BU39" s="42"/>
      <c r="BV39" s="43" t="str">
        <f t="shared" si="3"/>
        <v/>
      </c>
      <c r="BW39" s="44" t="str">
        <f t="shared" si="4"/>
        <v/>
      </c>
      <c r="BX39" s="45" t="str">
        <f t="shared" si="5"/>
        <v/>
      </c>
    </row>
    <row r="40" ht="12.0" customHeight="1">
      <c r="A40" s="101"/>
      <c r="B40" s="29"/>
      <c r="C40" s="30"/>
      <c r="D40" s="33"/>
      <c r="E40" s="32"/>
      <c r="F40" s="33"/>
      <c r="G40" s="32"/>
      <c r="H40" s="33"/>
      <c r="I40" s="32"/>
      <c r="J40" s="33"/>
      <c r="K40" s="32"/>
      <c r="L40" s="33"/>
      <c r="M40" s="32"/>
      <c r="N40" s="33"/>
      <c r="O40" s="32"/>
      <c r="P40" s="33"/>
      <c r="Q40" s="32"/>
      <c r="R40" s="33"/>
      <c r="S40" s="32"/>
      <c r="T40" s="33"/>
      <c r="U40" s="32"/>
      <c r="V40" s="33"/>
      <c r="W40" s="32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5"/>
      <c r="AP40" s="36"/>
      <c r="AQ40" s="35"/>
      <c r="AR40" s="36"/>
      <c r="AS40" s="35"/>
      <c r="AT40" s="36"/>
      <c r="AU40" s="35"/>
      <c r="AV40" s="36"/>
      <c r="AW40" s="35"/>
      <c r="AX40" s="36"/>
      <c r="AY40" s="37"/>
      <c r="AZ40" s="38"/>
      <c r="BA40" s="39"/>
      <c r="BB40" s="38"/>
      <c r="BC40" s="39"/>
      <c r="BD40" s="38"/>
      <c r="BE40" s="39"/>
      <c r="BF40" s="38"/>
      <c r="BG40" s="39"/>
      <c r="BH40" s="38"/>
      <c r="BI40" s="39"/>
      <c r="BJ40" s="38"/>
      <c r="BK40" s="39"/>
      <c r="BL40" s="38"/>
      <c r="BM40" s="39"/>
      <c r="BN40" s="38"/>
      <c r="BO40" s="39"/>
      <c r="BP40" s="38"/>
      <c r="BQ40" s="39"/>
      <c r="BR40" s="40">
        <f t="shared" ref="BR40:BS40" si="40">D40+F40+H40+J40+L40+N40+V40+X40+Z40+AB40+AD40+AF40+AZ40+BB40+BD40+BF40+BH40+AH40+P40+R40+AJ40+BJ40+AL40+AN40+AP40+AR40+AT40+AX40+AV40+BL40+T40+BN40+BP40</f>
        <v>0</v>
      </c>
      <c r="BS40" s="41">
        <f t="shared" si="40"/>
        <v>0</v>
      </c>
      <c r="BT40" s="42"/>
      <c r="BU40" s="42"/>
      <c r="BV40" s="43" t="str">
        <f t="shared" si="3"/>
        <v/>
      </c>
      <c r="BW40" s="44" t="str">
        <f t="shared" si="4"/>
        <v/>
      </c>
      <c r="BX40" s="45" t="str">
        <f t="shared" si="5"/>
        <v/>
      </c>
    </row>
    <row r="41" ht="12.0" customHeight="1">
      <c r="A41" s="101"/>
      <c r="B41" s="29"/>
      <c r="C41" s="30"/>
      <c r="D41" s="33"/>
      <c r="E41" s="32"/>
      <c r="F41" s="33"/>
      <c r="G41" s="32"/>
      <c r="H41" s="33"/>
      <c r="I41" s="32"/>
      <c r="J41" s="33"/>
      <c r="K41" s="32"/>
      <c r="L41" s="33"/>
      <c r="M41" s="32"/>
      <c r="N41" s="33"/>
      <c r="O41" s="32"/>
      <c r="P41" s="33"/>
      <c r="Q41" s="32"/>
      <c r="R41" s="33"/>
      <c r="S41" s="32"/>
      <c r="T41" s="33"/>
      <c r="U41" s="32"/>
      <c r="V41" s="33"/>
      <c r="W41" s="32"/>
      <c r="X41" s="36"/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5"/>
      <c r="AP41" s="36"/>
      <c r="AQ41" s="35"/>
      <c r="AR41" s="36"/>
      <c r="AS41" s="35"/>
      <c r="AT41" s="36"/>
      <c r="AU41" s="35"/>
      <c r="AV41" s="36"/>
      <c r="AW41" s="35"/>
      <c r="AX41" s="36"/>
      <c r="AY41" s="37"/>
      <c r="AZ41" s="38"/>
      <c r="BA41" s="39"/>
      <c r="BB41" s="38"/>
      <c r="BC41" s="39"/>
      <c r="BD41" s="38"/>
      <c r="BE41" s="39"/>
      <c r="BF41" s="38"/>
      <c r="BG41" s="39"/>
      <c r="BH41" s="38"/>
      <c r="BI41" s="39"/>
      <c r="BJ41" s="38"/>
      <c r="BK41" s="39"/>
      <c r="BL41" s="38"/>
      <c r="BM41" s="39"/>
      <c r="BN41" s="38"/>
      <c r="BO41" s="39"/>
      <c r="BP41" s="38"/>
      <c r="BQ41" s="39"/>
      <c r="BR41" s="40">
        <f t="shared" ref="BR41:BS41" si="41">D41+F41+H41+J41+L41+N41+V41+X41+Z41+AB41+AD41+AF41+AZ41+BB41+BD41+BF41+BH41+AH41+P41+R41+AJ41+BJ41+AL41+AN41+AP41+AR41+AT41+AX41+AV41+BL41+T41+BN41+BP41</f>
        <v>0</v>
      </c>
      <c r="BS41" s="41">
        <f t="shared" si="41"/>
        <v>0</v>
      </c>
      <c r="BT41" s="42"/>
      <c r="BU41" s="42"/>
      <c r="BV41" s="43" t="str">
        <f t="shared" si="3"/>
        <v/>
      </c>
      <c r="BW41" s="44" t="str">
        <f t="shared" si="4"/>
        <v/>
      </c>
      <c r="BX41" s="45" t="str">
        <f t="shared" si="5"/>
        <v/>
      </c>
    </row>
    <row r="42" ht="12.0" customHeight="1">
      <c r="A42" s="101"/>
      <c r="B42" s="29"/>
      <c r="C42" s="30"/>
      <c r="D42" s="33"/>
      <c r="E42" s="32"/>
      <c r="F42" s="33"/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32"/>
      <c r="V42" s="33"/>
      <c r="W42" s="32"/>
      <c r="X42" s="36"/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5"/>
      <c r="AP42" s="36"/>
      <c r="AQ42" s="35"/>
      <c r="AR42" s="36"/>
      <c r="AS42" s="35"/>
      <c r="AT42" s="36"/>
      <c r="AU42" s="35"/>
      <c r="AV42" s="36"/>
      <c r="AW42" s="35"/>
      <c r="AX42" s="36"/>
      <c r="AY42" s="37"/>
      <c r="AZ42" s="38"/>
      <c r="BA42" s="39"/>
      <c r="BB42" s="38"/>
      <c r="BC42" s="39"/>
      <c r="BD42" s="38"/>
      <c r="BE42" s="39"/>
      <c r="BF42" s="38"/>
      <c r="BG42" s="39"/>
      <c r="BH42" s="38"/>
      <c r="BI42" s="39"/>
      <c r="BJ42" s="38"/>
      <c r="BK42" s="39"/>
      <c r="BL42" s="38"/>
      <c r="BM42" s="39"/>
      <c r="BN42" s="38"/>
      <c r="BO42" s="39"/>
      <c r="BP42" s="38"/>
      <c r="BQ42" s="39"/>
      <c r="BR42" s="40">
        <f t="shared" ref="BR42:BS42" si="42">D42+F42+H42+J42+L42+N42+V42+X42+Z42+AB42+AD42+AF42+AZ42+BB42+BD42+BF42+BH42+AH42+P42+R42+AJ42+BJ42+AL42+AN42+AP42+AR42+AT42+AX42+AV42+BL42+T42+BN42+BP42</f>
        <v>0</v>
      </c>
      <c r="BS42" s="41">
        <f t="shared" si="42"/>
        <v>0</v>
      </c>
      <c r="BT42" s="42"/>
      <c r="BU42" s="42"/>
      <c r="BV42" s="43" t="str">
        <f t="shared" si="3"/>
        <v/>
      </c>
      <c r="BW42" s="44" t="str">
        <f t="shared" si="4"/>
        <v/>
      </c>
      <c r="BX42" s="45" t="str">
        <f t="shared" si="5"/>
        <v/>
      </c>
    </row>
    <row r="43" ht="12.0" customHeight="1">
      <c r="A43" s="101"/>
      <c r="B43" s="29"/>
      <c r="C43" s="30"/>
      <c r="D43" s="33"/>
      <c r="E43" s="32"/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  <c r="T43" s="33"/>
      <c r="U43" s="32"/>
      <c r="V43" s="33"/>
      <c r="W43" s="32"/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5"/>
      <c r="AP43" s="36"/>
      <c r="AQ43" s="35"/>
      <c r="AR43" s="36"/>
      <c r="AS43" s="35"/>
      <c r="AT43" s="36"/>
      <c r="AU43" s="35"/>
      <c r="AV43" s="36"/>
      <c r="AW43" s="35"/>
      <c r="AX43" s="36"/>
      <c r="AY43" s="37"/>
      <c r="AZ43" s="38"/>
      <c r="BA43" s="39"/>
      <c r="BB43" s="38"/>
      <c r="BC43" s="39"/>
      <c r="BD43" s="38"/>
      <c r="BE43" s="39"/>
      <c r="BF43" s="38"/>
      <c r="BG43" s="39"/>
      <c r="BH43" s="38"/>
      <c r="BI43" s="39"/>
      <c r="BJ43" s="38"/>
      <c r="BK43" s="39"/>
      <c r="BL43" s="38"/>
      <c r="BM43" s="39"/>
      <c r="BN43" s="38"/>
      <c r="BO43" s="39"/>
      <c r="BP43" s="38"/>
      <c r="BQ43" s="39"/>
      <c r="BR43" s="40">
        <f t="shared" ref="BR43:BS43" si="43">D43+F43+H43+J43+L43+N43+V43+X43+Z43+AB43+AD43+AF43+AZ43+BB43+BD43+BF43+BH43+AH43+P43+R43+AJ43+BJ43+AL43+AN43+AP43+AR43+AT43+AX43+AV43+BL43+T43+BN43+BP43</f>
        <v>0</v>
      </c>
      <c r="BS43" s="41">
        <f t="shared" si="43"/>
        <v>0</v>
      </c>
      <c r="BT43" s="42"/>
      <c r="BU43" s="42"/>
      <c r="BV43" s="43" t="str">
        <f t="shared" si="3"/>
        <v/>
      </c>
      <c r="BW43" s="44" t="str">
        <f t="shared" si="4"/>
        <v/>
      </c>
      <c r="BX43" s="45" t="str">
        <f t="shared" si="5"/>
        <v/>
      </c>
    </row>
    <row r="44" ht="12.0" customHeight="1">
      <c r="A44" s="101"/>
      <c r="B44" s="29"/>
      <c r="C44" s="30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  <c r="Q44" s="32"/>
      <c r="R44" s="33"/>
      <c r="S44" s="32"/>
      <c r="T44" s="33"/>
      <c r="U44" s="32"/>
      <c r="V44" s="33"/>
      <c r="W44" s="32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5"/>
      <c r="AP44" s="36"/>
      <c r="AQ44" s="35"/>
      <c r="AR44" s="36"/>
      <c r="AS44" s="35"/>
      <c r="AT44" s="36"/>
      <c r="AU44" s="35"/>
      <c r="AV44" s="36"/>
      <c r="AW44" s="35"/>
      <c r="AX44" s="36"/>
      <c r="AY44" s="37"/>
      <c r="AZ44" s="38"/>
      <c r="BA44" s="39"/>
      <c r="BB44" s="38"/>
      <c r="BC44" s="39"/>
      <c r="BD44" s="38"/>
      <c r="BE44" s="39"/>
      <c r="BF44" s="38"/>
      <c r="BG44" s="39"/>
      <c r="BH44" s="38"/>
      <c r="BI44" s="39"/>
      <c r="BJ44" s="38"/>
      <c r="BK44" s="39"/>
      <c r="BL44" s="38"/>
      <c r="BM44" s="39"/>
      <c r="BN44" s="38"/>
      <c r="BO44" s="39"/>
      <c r="BP44" s="38"/>
      <c r="BQ44" s="39"/>
      <c r="BR44" s="40">
        <f t="shared" ref="BR44:BS44" si="44">D44+F44+H44+J44+L44+N44+V44+X44+Z44+AB44+AD44+AF44+AZ44+BB44+BD44+BF44+BH44+AH44+P44+R44+AJ44+BJ44+AL44+AN44+AP44+AR44+AT44+AX44+AV44+BL44+T44+BN44+BP44</f>
        <v>0</v>
      </c>
      <c r="BS44" s="41">
        <f t="shared" si="44"/>
        <v>0</v>
      </c>
      <c r="BT44" s="42"/>
      <c r="BU44" s="42"/>
      <c r="BV44" s="43" t="str">
        <f t="shared" si="3"/>
        <v/>
      </c>
      <c r="BW44" s="44" t="str">
        <f t="shared" si="4"/>
        <v/>
      </c>
      <c r="BX44" s="45" t="str">
        <f t="shared" si="5"/>
        <v/>
      </c>
    </row>
    <row r="45" ht="12.0" customHeight="1">
      <c r="A45" s="101"/>
      <c r="B45" s="29"/>
      <c r="C45" s="30"/>
      <c r="D45" s="33"/>
      <c r="E45" s="32"/>
      <c r="F45" s="33"/>
      <c r="G45" s="32"/>
      <c r="H45" s="33"/>
      <c r="I45" s="32"/>
      <c r="J45" s="33"/>
      <c r="K45" s="32"/>
      <c r="L45" s="33"/>
      <c r="M45" s="32"/>
      <c r="N45" s="33"/>
      <c r="O45" s="32"/>
      <c r="P45" s="33"/>
      <c r="Q45" s="32"/>
      <c r="R45" s="33"/>
      <c r="S45" s="32"/>
      <c r="T45" s="33"/>
      <c r="U45" s="32"/>
      <c r="V45" s="33"/>
      <c r="W45" s="32"/>
      <c r="X45" s="36"/>
      <c r="Y45" s="35"/>
      <c r="Z45" s="36"/>
      <c r="AA45" s="35"/>
      <c r="AB45" s="36"/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5"/>
      <c r="AP45" s="36"/>
      <c r="AQ45" s="35"/>
      <c r="AR45" s="36"/>
      <c r="AS45" s="35"/>
      <c r="AT45" s="36"/>
      <c r="AU45" s="35"/>
      <c r="AV45" s="36"/>
      <c r="AW45" s="35"/>
      <c r="AX45" s="36"/>
      <c r="AY45" s="37"/>
      <c r="AZ45" s="38"/>
      <c r="BA45" s="39"/>
      <c r="BB45" s="38"/>
      <c r="BC45" s="39"/>
      <c r="BD45" s="38"/>
      <c r="BE45" s="39"/>
      <c r="BF45" s="38"/>
      <c r="BG45" s="39"/>
      <c r="BH45" s="38"/>
      <c r="BI45" s="39"/>
      <c r="BJ45" s="38"/>
      <c r="BK45" s="39"/>
      <c r="BL45" s="38"/>
      <c r="BM45" s="39"/>
      <c r="BN45" s="38"/>
      <c r="BO45" s="39"/>
      <c r="BP45" s="38"/>
      <c r="BQ45" s="39"/>
      <c r="BR45" s="40">
        <f t="shared" ref="BR45:BS45" si="45">D45+F45+H45+J45+L45+N45+V45+X45+Z45+AB45+AD45+AF45+AZ45+BB45+BD45+BF45+BH45+AH45+P45+R45+AJ45+BJ45+AL45+AN45+AP45+AR45+AT45+AX45+AV45+BL45+T45+BN45+BP45</f>
        <v>0</v>
      </c>
      <c r="BS45" s="41">
        <f t="shared" si="45"/>
        <v>0</v>
      </c>
      <c r="BT45" s="42"/>
      <c r="BU45" s="42"/>
      <c r="BV45" s="43" t="str">
        <f t="shared" si="3"/>
        <v/>
      </c>
      <c r="BW45" s="44" t="str">
        <f t="shared" si="4"/>
        <v/>
      </c>
      <c r="BX45" s="45" t="str">
        <f t="shared" si="5"/>
        <v/>
      </c>
    </row>
    <row r="46" ht="12.0" customHeight="1">
      <c r="A46" s="101"/>
      <c r="B46" s="29"/>
      <c r="C46" s="30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33"/>
      <c r="O46" s="32"/>
      <c r="P46" s="33"/>
      <c r="Q46" s="32"/>
      <c r="R46" s="33"/>
      <c r="S46" s="32"/>
      <c r="T46" s="33"/>
      <c r="U46" s="32"/>
      <c r="V46" s="33"/>
      <c r="W46" s="32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5"/>
      <c r="AP46" s="36"/>
      <c r="AQ46" s="35"/>
      <c r="AR46" s="36"/>
      <c r="AS46" s="35"/>
      <c r="AT46" s="36"/>
      <c r="AU46" s="35"/>
      <c r="AV46" s="36"/>
      <c r="AW46" s="35"/>
      <c r="AX46" s="36"/>
      <c r="AY46" s="37"/>
      <c r="AZ46" s="38"/>
      <c r="BA46" s="39"/>
      <c r="BB46" s="38"/>
      <c r="BC46" s="39"/>
      <c r="BD46" s="38"/>
      <c r="BE46" s="39"/>
      <c r="BF46" s="38"/>
      <c r="BG46" s="39"/>
      <c r="BH46" s="38"/>
      <c r="BI46" s="39"/>
      <c r="BJ46" s="38"/>
      <c r="BK46" s="39"/>
      <c r="BL46" s="38"/>
      <c r="BM46" s="39"/>
      <c r="BN46" s="38"/>
      <c r="BO46" s="39"/>
      <c r="BP46" s="38"/>
      <c r="BQ46" s="39"/>
      <c r="BR46" s="40">
        <f t="shared" ref="BR46:BS46" si="46">D46+F46+H46+J46+L46+N46+V46+X46+Z46+AB46+AD46+AF46+AZ46+BB46+BD46+BF46+BH46+AH46+P46+R46+AJ46+BJ46+AL46+AN46+AP46+AR46+AT46+AX46+AV46+BL46+T46+BN46+BP46</f>
        <v>0</v>
      </c>
      <c r="BS46" s="41">
        <f t="shared" si="46"/>
        <v>0</v>
      </c>
      <c r="BT46" s="42"/>
      <c r="BU46" s="42"/>
      <c r="BV46" s="43" t="str">
        <f t="shared" si="3"/>
        <v/>
      </c>
      <c r="BW46" s="44" t="str">
        <f t="shared" si="4"/>
        <v/>
      </c>
      <c r="BX46" s="45" t="str">
        <f t="shared" si="5"/>
        <v/>
      </c>
    </row>
    <row r="47" ht="12.0" customHeight="1">
      <c r="A47" s="101"/>
      <c r="B47" s="29"/>
      <c r="C47" s="30"/>
      <c r="D47" s="33"/>
      <c r="E47" s="32"/>
      <c r="F47" s="33"/>
      <c r="G47" s="32"/>
      <c r="H47" s="33"/>
      <c r="I47" s="32"/>
      <c r="J47" s="33"/>
      <c r="K47" s="32"/>
      <c r="L47" s="33"/>
      <c r="M47" s="32"/>
      <c r="N47" s="33"/>
      <c r="O47" s="32"/>
      <c r="P47" s="33"/>
      <c r="Q47" s="32"/>
      <c r="R47" s="33"/>
      <c r="S47" s="32"/>
      <c r="T47" s="33"/>
      <c r="U47" s="32"/>
      <c r="V47" s="33"/>
      <c r="W47" s="32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5"/>
      <c r="AP47" s="36"/>
      <c r="AQ47" s="35"/>
      <c r="AR47" s="36"/>
      <c r="AS47" s="35"/>
      <c r="AT47" s="36"/>
      <c r="AU47" s="35"/>
      <c r="AV47" s="36"/>
      <c r="AW47" s="35"/>
      <c r="AX47" s="36"/>
      <c r="AY47" s="37"/>
      <c r="AZ47" s="38"/>
      <c r="BA47" s="39"/>
      <c r="BB47" s="38"/>
      <c r="BC47" s="39"/>
      <c r="BD47" s="38"/>
      <c r="BE47" s="39"/>
      <c r="BF47" s="38"/>
      <c r="BG47" s="39"/>
      <c r="BH47" s="38"/>
      <c r="BI47" s="39"/>
      <c r="BJ47" s="38"/>
      <c r="BK47" s="39"/>
      <c r="BL47" s="38"/>
      <c r="BM47" s="39"/>
      <c r="BN47" s="38"/>
      <c r="BO47" s="39"/>
      <c r="BP47" s="38"/>
      <c r="BQ47" s="39"/>
      <c r="BR47" s="40">
        <f t="shared" ref="BR47:BS47" si="47">D47+F47+H47+J47+L47+N47+V47+X47+Z47+AB47+AD47+AF47+AZ47+BB47+BD47+BF47+BH47+AH47+P47+R47+AJ47+BJ47+AL47+AN47+AP47+AR47+AT47+AX47+AV47+BL47+T47+BN47+BP47</f>
        <v>0</v>
      </c>
      <c r="BS47" s="41">
        <f t="shared" si="47"/>
        <v>0</v>
      </c>
      <c r="BT47" s="42"/>
      <c r="BU47" s="42"/>
      <c r="BV47" s="43" t="str">
        <f t="shared" si="3"/>
        <v/>
      </c>
      <c r="BW47" s="44" t="str">
        <f t="shared" si="4"/>
        <v/>
      </c>
      <c r="BX47" s="45" t="str">
        <f t="shared" si="5"/>
        <v/>
      </c>
    </row>
    <row r="48" ht="12.0" customHeight="1">
      <c r="A48" s="101"/>
      <c r="B48" s="29"/>
      <c r="C48" s="30"/>
      <c r="D48" s="33"/>
      <c r="E48" s="32"/>
      <c r="F48" s="33"/>
      <c r="G48" s="32"/>
      <c r="H48" s="33"/>
      <c r="I48" s="32"/>
      <c r="J48" s="33"/>
      <c r="K48" s="32"/>
      <c r="L48" s="33"/>
      <c r="M48" s="32"/>
      <c r="N48" s="33"/>
      <c r="O48" s="32"/>
      <c r="P48" s="33"/>
      <c r="Q48" s="32"/>
      <c r="R48" s="33"/>
      <c r="S48" s="32"/>
      <c r="T48" s="33"/>
      <c r="U48" s="32"/>
      <c r="V48" s="33"/>
      <c r="W48" s="32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5"/>
      <c r="AP48" s="36"/>
      <c r="AQ48" s="35"/>
      <c r="AR48" s="36"/>
      <c r="AS48" s="35"/>
      <c r="AT48" s="36"/>
      <c r="AU48" s="35"/>
      <c r="AV48" s="36"/>
      <c r="AW48" s="35"/>
      <c r="AX48" s="36"/>
      <c r="AY48" s="37"/>
      <c r="AZ48" s="38"/>
      <c r="BA48" s="39"/>
      <c r="BB48" s="38"/>
      <c r="BC48" s="39"/>
      <c r="BD48" s="38"/>
      <c r="BE48" s="39"/>
      <c r="BF48" s="38"/>
      <c r="BG48" s="39"/>
      <c r="BH48" s="38"/>
      <c r="BI48" s="39"/>
      <c r="BJ48" s="38"/>
      <c r="BK48" s="39"/>
      <c r="BL48" s="38"/>
      <c r="BM48" s="39"/>
      <c r="BN48" s="38"/>
      <c r="BO48" s="39"/>
      <c r="BP48" s="38"/>
      <c r="BQ48" s="39"/>
      <c r="BR48" s="40">
        <f t="shared" ref="BR48:BS48" si="48">D48+F48+H48+J48+L48+N48+V48+X48+Z48+AB48+AD48+AF48+AZ48+BB48+BD48+BF48+BH48+AH48+P48+R48+AJ48+BJ48+AL48+AN48+AP48+AR48+AT48+AX48+AV48+BL48+T48+BN48+BP48</f>
        <v>0</v>
      </c>
      <c r="BS48" s="41">
        <f t="shared" si="48"/>
        <v>0</v>
      </c>
      <c r="BT48" s="42"/>
      <c r="BU48" s="42"/>
      <c r="BV48" s="43" t="str">
        <f t="shared" si="3"/>
        <v/>
      </c>
      <c r="BW48" s="44" t="str">
        <f t="shared" si="4"/>
        <v/>
      </c>
      <c r="BX48" s="45" t="str">
        <f t="shared" si="5"/>
        <v/>
      </c>
    </row>
    <row r="49" ht="12.0" customHeight="1">
      <c r="A49" s="101"/>
      <c r="B49" s="29"/>
      <c r="C49" s="30"/>
      <c r="D49" s="33"/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32"/>
      <c r="R49" s="33"/>
      <c r="S49" s="32"/>
      <c r="T49" s="33"/>
      <c r="U49" s="32"/>
      <c r="V49" s="33"/>
      <c r="W49" s="32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5"/>
      <c r="AP49" s="36"/>
      <c r="AQ49" s="35"/>
      <c r="AR49" s="36"/>
      <c r="AS49" s="35"/>
      <c r="AT49" s="36"/>
      <c r="AU49" s="35"/>
      <c r="AV49" s="36"/>
      <c r="AW49" s="35"/>
      <c r="AX49" s="36"/>
      <c r="AY49" s="37"/>
      <c r="AZ49" s="38"/>
      <c r="BA49" s="39"/>
      <c r="BB49" s="38"/>
      <c r="BC49" s="39"/>
      <c r="BD49" s="38"/>
      <c r="BE49" s="39"/>
      <c r="BF49" s="38"/>
      <c r="BG49" s="39"/>
      <c r="BH49" s="38"/>
      <c r="BI49" s="39"/>
      <c r="BJ49" s="38"/>
      <c r="BK49" s="39"/>
      <c r="BL49" s="38"/>
      <c r="BM49" s="39"/>
      <c r="BN49" s="38"/>
      <c r="BO49" s="39"/>
      <c r="BP49" s="38"/>
      <c r="BQ49" s="39"/>
      <c r="BR49" s="40">
        <f t="shared" ref="BR49:BS49" si="49">D49+F49+H49+J49+L49+N49+V49+X49+Z49+AB49+AD49+AF49+AZ49+BB49+BD49+BF49+BH49+AH49+P49+R49+AJ49+BJ49+AL49+AN49+AP49+AR49+AT49+AX49+AV49+BL49+T49+BN49+BP49</f>
        <v>0</v>
      </c>
      <c r="BS49" s="41">
        <f t="shared" si="49"/>
        <v>0</v>
      </c>
      <c r="BT49" s="42"/>
      <c r="BU49" s="42"/>
      <c r="BV49" s="43" t="str">
        <f t="shared" si="3"/>
        <v/>
      </c>
      <c r="BW49" s="44" t="str">
        <f t="shared" si="4"/>
        <v/>
      </c>
      <c r="BX49" s="45" t="str">
        <f t="shared" si="5"/>
        <v/>
      </c>
    </row>
    <row r="50" ht="12.0" customHeight="1">
      <c r="A50" s="101"/>
      <c r="B50" s="29"/>
      <c r="C50" s="30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32"/>
      <c r="R50" s="33"/>
      <c r="S50" s="32"/>
      <c r="T50" s="33"/>
      <c r="U50" s="32"/>
      <c r="V50" s="33"/>
      <c r="W50" s="32"/>
      <c r="X50" s="36"/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5"/>
      <c r="AP50" s="36"/>
      <c r="AQ50" s="35"/>
      <c r="AR50" s="36"/>
      <c r="AS50" s="35"/>
      <c r="AT50" s="36"/>
      <c r="AU50" s="35"/>
      <c r="AV50" s="36"/>
      <c r="AW50" s="35"/>
      <c r="AX50" s="36"/>
      <c r="AY50" s="37"/>
      <c r="AZ50" s="38"/>
      <c r="BA50" s="39"/>
      <c r="BB50" s="38"/>
      <c r="BC50" s="39"/>
      <c r="BD50" s="38"/>
      <c r="BE50" s="39"/>
      <c r="BF50" s="38"/>
      <c r="BG50" s="39"/>
      <c r="BH50" s="38"/>
      <c r="BI50" s="39"/>
      <c r="BJ50" s="38"/>
      <c r="BK50" s="39"/>
      <c r="BL50" s="38"/>
      <c r="BM50" s="39"/>
      <c r="BN50" s="38"/>
      <c r="BO50" s="39"/>
      <c r="BP50" s="38"/>
      <c r="BQ50" s="39"/>
      <c r="BR50" s="40">
        <f t="shared" ref="BR50:BS50" si="50">D50+F50+H50+J50+L50+N50+V50+X50+Z50+AB50+AD50+AF50+AZ50+BB50+BD50+BF50+BH50+AH50+P50+R50+AJ50+BJ50+AL50+AN50+AP50+AR50+AT50+AX50+AV50+BL50+T50+BN50+BP50</f>
        <v>0</v>
      </c>
      <c r="BS50" s="41">
        <f t="shared" si="50"/>
        <v>0</v>
      </c>
      <c r="BT50" s="42"/>
      <c r="BU50" s="42"/>
      <c r="BV50" s="43" t="str">
        <f t="shared" si="3"/>
        <v/>
      </c>
      <c r="BW50" s="44" t="str">
        <f t="shared" si="4"/>
        <v/>
      </c>
      <c r="BX50" s="45" t="str">
        <f t="shared" si="5"/>
        <v/>
      </c>
    </row>
    <row r="51" ht="12.0" customHeight="1">
      <c r="A51" s="101"/>
      <c r="B51" s="29"/>
      <c r="C51" s="30"/>
      <c r="D51" s="33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2"/>
      <c r="T51" s="33"/>
      <c r="U51" s="32"/>
      <c r="V51" s="33"/>
      <c r="W51" s="32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5"/>
      <c r="AP51" s="36"/>
      <c r="AQ51" s="35"/>
      <c r="AR51" s="36"/>
      <c r="AS51" s="35"/>
      <c r="AT51" s="36"/>
      <c r="AU51" s="35"/>
      <c r="AV51" s="36"/>
      <c r="AW51" s="35"/>
      <c r="AX51" s="36"/>
      <c r="AY51" s="37"/>
      <c r="AZ51" s="38"/>
      <c r="BA51" s="39"/>
      <c r="BB51" s="38"/>
      <c r="BC51" s="39"/>
      <c r="BD51" s="38"/>
      <c r="BE51" s="39"/>
      <c r="BF51" s="38"/>
      <c r="BG51" s="39"/>
      <c r="BH51" s="38"/>
      <c r="BI51" s="39"/>
      <c r="BJ51" s="38"/>
      <c r="BK51" s="39"/>
      <c r="BL51" s="38"/>
      <c r="BM51" s="39"/>
      <c r="BN51" s="38"/>
      <c r="BO51" s="39"/>
      <c r="BP51" s="38"/>
      <c r="BQ51" s="39"/>
      <c r="BR51" s="40">
        <f t="shared" ref="BR51:BS51" si="51">D51+F51+H51+J51+L51+N51+V51+X51+Z51+AB51+AD51+AF51+AZ51+BB51+BD51+BF51+BH51+AH51+P51+R51+AJ51+BJ51+AL51+AN51+AP51+AR51+AT51+AX51+AV51+BL51+T51+BN51+BP51</f>
        <v>0</v>
      </c>
      <c r="BS51" s="41">
        <f t="shared" si="51"/>
        <v>0</v>
      </c>
      <c r="BT51" s="42"/>
      <c r="BU51" s="42"/>
      <c r="BV51" s="43" t="str">
        <f t="shared" si="3"/>
        <v/>
      </c>
      <c r="BW51" s="44" t="str">
        <f t="shared" si="4"/>
        <v/>
      </c>
      <c r="BX51" s="45" t="str">
        <f t="shared" si="5"/>
        <v/>
      </c>
    </row>
    <row r="52" ht="12.0" customHeight="1">
      <c r="A52" s="101"/>
      <c r="B52" s="29"/>
      <c r="C52" s="30"/>
      <c r="D52" s="33"/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2"/>
      <c r="P52" s="33"/>
      <c r="Q52" s="32"/>
      <c r="R52" s="33"/>
      <c r="S52" s="32"/>
      <c r="T52" s="33"/>
      <c r="U52" s="32"/>
      <c r="V52" s="33"/>
      <c r="W52" s="32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5"/>
      <c r="AP52" s="36"/>
      <c r="AQ52" s="35"/>
      <c r="AR52" s="36"/>
      <c r="AS52" s="35"/>
      <c r="AT52" s="36"/>
      <c r="AU52" s="35"/>
      <c r="AV52" s="36"/>
      <c r="AW52" s="35"/>
      <c r="AX52" s="36"/>
      <c r="AY52" s="37"/>
      <c r="AZ52" s="38"/>
      <c r="BA52" s="39"/>
      <c r="BB52" s="38"/>
      <c r="BC52" s="39"/>
      <c r="BD52" s="38"/>
      <c r="BE52" s="39"/>
      <c r="BF52" s="38"/>
      <c r="BG52" s="39"/>
      <c r="BH52" s="38"/>
      <c r="BI52" s="39"/>
      <c r="BJ52" s="38"/>
      <c r="BK52" s="39"/>
      <c r="BL52" s="38"/>
      <c r="BM52" s="39"/>
      <c r="BN52" s="38"/>
      <c r="BO52" s="39"/>
      <c r="BP52" s="38"/>
      <c r="BQ52" s="39"/>
      <c r="BR52" s="40">
        <f t="shared" ref="BR52:BS52" si="52">D52+F52+H52+J52+L52+N52+V52+X52+Z52+AB52+AD52+AF52+AZ52+BB52+BD52+BF52+BH52+AH52+P52+R52+AJ52+BJ52+AL52+AN52+AP52+AR52+AT52+AX52+AV52+BL52+T52+BN52+BP52</f>
        <v>0</v>
      </c>
      <c r="BS52" s="41">
        <f t="shared" si="52"/>
        <v>0</v>
      </c>
      <c r="BT52" s="42"/>
      <c r="BU52" s="42"/>
      <c r="BV52" s="43" t="str">
        <f t="shared" si="3"/>
        <v/>
      </c>
      <c r="BW52" s="44" t="str">
        <f t="shared" si="4"/>
        <v/>
      </c>
      <c r="BX52" s="45" t="str">
        <f t="shared" si="5"/>
        <v/>
      </c>
    </row>
    <row r="53" ht="12.0" customHeight="1">
      <c r="A53" s="101"/>
      <c r="B53" s="29"/>
      <c r="C53" s="30"/>
      <c r="D53" s="33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2"/>
      <c r="R53" s="33"/>
      <c r="S53" s="32"/>
      <c r="T53" s="33"/>
      <c r="U53" s="32"/>
      <c r="V53" s="33"/>
      <c r="W53" s="32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5"/>
      <c r="AP53" s="36"/>
      <c r="AQ53" s="35"/>
      <c r="AR53" s="36"/>
      <c r="AS53" s="35"/>
      <c r="AT53" s="36"/>
      <c r="AU53" s="35"/>
      <c r="AV53" s="36"/>
      <c r="AW53" s="35"/>
      <c r="AX53" s="36"/>
      <c r="AY53" s="37"/>
      <c r="AZ53" s="38"/>
      <c r="BA53" s="39"/>
      <c r="BB53" s="38"/>
      <c r="BC53" s="39"/>
      <c r="BD53" s="38"/>
      <c r="BE53" s="39"/>
      <c r="BF53" s="38"/>
      <c r="BG53" s="39"/>
      <c r="BH53" s="38"/>
      <c r="BI53" s="39"/>
      <c r="BJ53" s="38"/>
      <c r="BK53" s="39"/>
      <c r="BL53" s="38"/>
      <c r="BM53" s="39"/>
      <c r="BN53" s="38"/>
      <c r="BO53" s="39"/>
      <c r="BP53" s="38"/>
      <c r="BQ53" s="39"/>
      <c r="BR53" s="40">
        <f t="shared" ref="BR53:BS53" si="53">D53+F53+H53+J53+L53+N53+V53+X53+Z53+AB53+AD53+AF53+AZ53+BB53+BD53+BF53+BH53+AH53+P53+R53+AJ53+BJ53+AL53+AN53+AP53+AR53+AT53+AX53+AV53+BL53+T53+BN53+BP53</f>
        <v>0</v>
      </c>
      <c r="BS53" s="41">
        <f t="shared" si="53"/>
        <v>0</v>
      </c>
      <c r="BT53" s="42"/>
      <c r="BU53" s="42"/>
      <c r="BV53" s="43" t="str">
        <f t="shared" si="3"/>
        <v/>
      </c>
      <c r="BW53" s="44" t="str">
        <f t="shared" si="4"/>
        <v/>
      </c>
      <c r="BX53" s="45" t="str">
        <f t="shared" si="5"/>
        <v/>
      </c>
    </row>
    <row r="54" ht="12.0" customHeight="1">
      <c r="A54" s="101"/>
      <c r="B54" s="29"/>
      <c r="C54" s="30"/>
      <c r="D54" s="33"/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32"/>
      <c r="R54" s="33"/>
      <c r="S54" s="32"/>
      <c r="T54" s="33"/>
      <c r="U54" s="32"/>
      <c r="V54" s="33"/>
      <c r="W54" s="32"/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5"/>
      <c r="AP54" s="36"/>
      <c r="AQ54" s="35"/>
      <c r="AR54" s="36"/>
      <c r="AS54" s="35"/>
      <c r="AT54" s="36"/>
      <c r="AU54" s="35"/>
      <c r="AV54" s="36"/>
      <c r="AW54" s="35"/>
      <c r="AX54" s="36"/>
      <c r="AY54" s="37"/>
      <c r="AZ54" s="38"/>
      <c r="BA54" s="39"/>
      <c r="BB54" s="38"/>
      <c r="BC54" s="39"/>
      <c r="BD54" s="38"/>
      <c r="BE54" s="39"/>
      <c r="BF54" s="38"/>
      <c r="BG54" s="39"/>
      <c r="BH54" s="38"/>
      <c r="BI54" s="39"/>
      <c r="BJ54" s="38"/>
      <c r="BK54" s="39"/>
      <c r="BL54" s="38"/>
      <c r="BM54" s="39"/>
      <c r="BN54" s="38"/>
      <c r="BO54" s="39"/>
      <c r="BP54" s="38"/>
      <c r="BQ54" s="39"/>
      <c r="BR54" s="40">
        <f t="shared" ref="BR54:BS54" si="54">D54+F54+H54+J54+L54+N54+V54+X54+Z54+AB54+AD54+AF54+AZ54+BB54+BD54+BF54+BH54+AH54+P54+R54+AJ54+BJ54+AL54+AN54+AP54+AR54+AT54+AX54+AV54+BL54+T54+BN54+BP54</f>
        <v>0</v>
      </c>
      <c r="BS54" s="41">
        <f t="shared" si="54"/>
        <v>0</v>
      </c>
      <c r="BT54" s="42"/>
      <c r="BU54" s="42"/>
      <c r="BV54" s="43" t="str">
        <f t="shared" si="3"/>
        <v/>
      </c>
      <c r="BW54" s="44" t="str">
        <f t="shared" si="4"/>
        <v/>
      </c>
      <c r="BX54" s="45" t="str">
        <f t="shared" si="5"/>
        <v/>
      </c>
    </row>
    <row r="55" ht="12.0" customHeight="1">
      <c r="A55" s="101"/>
      <c r="B55" s="29"/>
      <c r="C55" s="30"/>
      <c r="D55" s="33"/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32"/>
      <c r="R55" s="33"/>
      <c r="S55" s="32"/>
      <c r="T55" s="33"/>
      <c r="U55" s="32"/>
      <c r="V55" s="33"/>
      <c r="W55" s="32"/>
      <c r="X55" s="36"/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5"/>
      <c r="AP55" s="36"/>
      <c r="AQ55" s="35"/>
      <c r="AR55" s="36"/>
      <c r="AS55" s="35"/>
      <c r="AT55" s="36"/>
      <c r="AU55" s="35"/>
      <c r="AV55" s="36"/>
      <c r="AW55" s="35"/>
      <c r="AX55" s="36"/>
      <c r="AY55" s="37"/>
      <c r="AZ55" s="38"/>
      <c r="BA55" s="39"/>
      <c r="BB55" s="38"/>
      <c r="BC55" s="39"/>
      <c r="BD55" s="38"/>
      <c r="BE55" s="39"/>
      <c r="BF55" s="38"/>
      <c r="BG55" s="39"/>
      <c r="BH55" s="38"/>
      <c r="BI55" s="39"/>
      <c r="BJ55" s="38"/>
      <c r="BK55" s="39"/>
      <c r="BL55" s="38"/>
      <c r="BM55" s="39"/>
      <c r="BN55" s="38"/>
      <c r="BO55" s="39"/>
      <c r="BP55" s="38"/>
      <c r="BQ55" s="39"/>
      <c r="BR55" s="40">
        <f t="shared" ref="BR55:BS55" si="55">D55+F55+H55+J55+L55+N55+V55+X55+Z55+AB55+AD55+AF55+AZ55+BB55+BD55+BF55+BH55+AH55+P55+R55+AJ55+BJ55+AL55+AN55+AP55+AR55+AT55+AX55+AV55+BL55+T55+BN55+BP55</f>
        <v>0</v>
      </c>
      <c r="BS55" s="41">
        <f t="shared" si="55"/>
        <v>0</v>
      </c>
      <c r="BT55" s="42"/>
      <c r="BU55" s="42"/>
      <c r="BV55" s="43" t="str">
        <f t="shared" si="3"/>
        <v/>
      </c>
      <c r="BW55" s="44" t="str">
        <f t="shared" si="4"/>
        <v/>
      </c>
      <c r="BX55" s="45" t="str">
        <f t="shared" si="5"/>
        <v/>
      </c>
    </row>
    <row r="56" ht="12.0" customHeight="1">
      <c r="A56" s="101"/>
      <c r="B56" s="29"/>
      <c r="C56" s="30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32"/>
      <c r="R56" s="33"/>
      <c r="S56" s="32"/>
      <c r="T56" s="33"/>
      <c r="U56" s="32"/>
      <c r="V56" s="33"/>
      <c r="W56" s="32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/>
      <c r="AO56" s="35"/>
      <c r="AP56" s="36"/>
      <c r="AQ56" s="35"/>
      <c r="AR56" s="36"/>
      <c r="AS56" s="35"/>
      <c r="AT56" s="36"/>
      <c r="AU56" s="35"/>
      <c r="AV56" s="36"/>
      <c r="AW56" s="35"/>
      <c r="AX56" s="36"/>
      <c r="AY56" s="37"/>
      <c r="AZ56" s="38"/>
      <c r="BA56" s="39"/>
      <c r="BB56" s="38"/>
      <c r="BC56" s="39"/>
      <c r="BD56" s="38"/>
      <c r="BE56" s="39"/>
      <c r="BF56" s="38"/>
      <c r="BG56" s="39"/>
      <c r="BH56" s="38"/>
      <c r="BI56" s="39"/>
      <c r="BJ56" s="38"/>
      <c r="BK56" s="39"/>
      <c r="BL56" s="38"/>
      <c r="BM56" s="39"/>
      <c r="BN56" s="38"/>
      <c r="BO56" s="39"/>
      <c r="BP56" s="38"/>
      <c r="BQ56" s="39"/>
      <c r="BR56" s="40">
        <f t="shared" ref="BR56:BS56" si="56">D56+F56+H56+J56+L56+N56+V56+X56+Z56+AB56+AD56+AF56+AZ56+BB56+BD56+BF56+BH56+AH56+P56+R56+AJ56+BJ56+AL56+AN56+AP56+AR56+AT56+AX56+AV56+BL56+T56+BN56+BP56</f>
        <v>0</v>
      </c>
      <c r="BS56" s="41">
        <f t="shared" si="56"/>
        <v>0</v>
      </c>
      <c r="BT56" s="42"/>
      <c r="BU56" s="42"/>
      <c r="BV56" s="43" t="str">
        <f t="shared" si="3"/>
        <v/>
      </c>
      <c r="BW56" s="44" t="str">
        <f t="shared" si="4"/>
        <v/>
      </c>
      <c r="BX56" s="45" t="str">
        <f t="shared" si="5"/>
        <v/>
      </c>
    </row>
    <row r="57" ht="12.0" customHeight="1">
      <c r="A57" s="101"/>
      <c r="B57" s="29"/>
      <c r="C57" s="30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/>
      <c r="AN57" s="36"/>
      <c r="AO57" s="35"/>
      <c r="AP57" s="36"/>
      <c r="AQ57" s="35"/>
      <c r="AR57" s="36"/>
      <c r="AS57" s="35"/>
      <c r="AT57" s="36"/>
      <c r="AU57" s="35"/>
      <c r="AV57" s="36"/>
      <c r="AW57" s="35"/>
      <c r="AX57" s="36"/>
      <c r="AY57" s="37"/>
      <c r="AZ57" s="38"/>
      <c r="BA57" s="39"/>
      <c r="BB57" s="38"/>
      <c r="BC57" s="39"/>
      <c r="BD57" s="38"/>
      <c r="BE57" s="39"/>
      <c r="BF57" s="38"/>
      <c r="BG57" s="39"/>
      <c r="BH57" s="38"/>
      <c r="BI57" s="39"/>
      <c r="BJ57" s="38"/>
      <c r="BK57" s="39"/>
      <c r="BL57" s="38"/>
      <c r="BM57" s="39"/>
      <c r="BN57" s="38"/>
      <c r="BO57" s="39"/>
      <c r="BP57" s="38"/>
      <c r="BQ57" s="39"/>
      <c r="BR57" s="40">
        <f t="shared" ref="BR57:BS57" si="57">D57+F57+H57+J57+L57+N57+V57+X57+Z57+AB57+AD57+AF57+AZ57+BB57+BD57+BF57+BH57+AH57+P57+R57+AJ57+BJ57+AL57+AN57+AP57+AR57+AT57+AX57+AV57+BL57+T57+BN57+BP57</f>
        <v>0</v>
      </c>
      <c r="BS57" s="41">
        <f t="shared" si="57"/>
        <v>0</v>
      </c>
      <c r="BT57" s="42"/>
      <c r="BU57" s="42"/>
      <c r="BV57" s="43" t="str">
        <f t="shared" si="3"/>
        <v/>
      </c>
      <c r="BW57" s="44" t="str">
        <f t="shared" si="4"/>
        <v/>
      </c>
      <c r="BX57" s="45" t="str">
        <f t="shared" si="5"/>
        <v/>
      </c>
    </row>
    <row r="58" ht="12.0" customHeight="1">
      <c r="A58" s="101"/>
      <c r="B58" s="29"/>
      <c r="C58" s="30"/>
      <c r="D58" s="33"/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32"/>
      <c r="R58" s="33"/>
      <c r="S58" s="32"/>
      <c r="T58" s="33"/>
      <c r="U58" s="32"/>
      <c r="V58" s="33"/>
      <c r="W58" s="32"/>
      <c r="X58" s="36"/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5"/>
      <c r="AP58" s="36"/>
      <c r="AQ58" s="35"/>
      <c r="AR58" s="36"/>
      <c r="AS58" s="35"/>
      <c r="AT58" s="36"/>
      <c r="AU58" s="35"/>
      <c r="AV58" s="36"/>
      <c r="AW58" s="35"/>
      <c r="AX58" s="36"/>
      <c r="AY58" s="37"/>
      <c r="AZ58" s="38"/>
      <c r="BA58" s="39"/>
      <c r="BB58" s="38"/>
      <c r="BC58" s="39"/>
      <c r="BD58" s="38"/>
      <c r="BE58" s="39"/>
      <c r="BF58" s="38"/>
      <c r="BG58" s="39"/>
      <c r="BH58" s="38"/>
      <c r="BI58" s="39"/>
      <c r="BJ58" s="38"/>
      <c r="BK58" s="39"/>
      <c r="BL58" s="38"/>
      <c r="BM58" s="39"/>
      <c r="BN58" s="38"/>
      <c r="BO58" s="39"/>
      <c r="BP58" s="38"/>
      <c r="BQ58" s="39"/>
      <c r="BR58" s="40">
        <f t="shared" ref="BR58:BS58" si="58">D58+F58+H58+J58+L58+N58+V58+X58+Z58+AB58+AD58+AF58+AZ58+BB58+BD58+BF58+BH58+AH58+P58+R58+AJ58+BJ58+AL58+AN58+AP58+AR58+AT58+AX58+AV58+BL58+T58+BN58+BP58</f>
        <v>0</v>
      </c>
      <c r="BS58" s="41">
        <f t="shared" si="58"/>
        <v>0</v>
      </c>
      <c r="BT58" s="42"/>
      <c r="BU58" s="42"/>
      <c r="BV58" s="43" t="str">
        <f t="shared" si="3"/>
        <v/>
      </c>
      <c r="BW58" s="44" t="str">
        <f t="shared" si="4"/>
        <v/>
      </c>
      <c r="BX58" s="45" t="str">
        <f t="shared" si="5"/>
        <v/>
      </c>
    </row>
    <row r="59" ht="12.0" customHeight="1">
      <c r="A59" s="101"/>
      <c r="B59" s="29"/>
      <c r="C59" s="30"/>
      <c r="D59" s="33"/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32"/>
      <c r="R59" s="33"/>
      <c r="S59" s="32"/>
      <c r="T59" s="33"/>
      <c r="U59" s="32"/>
      <c r="V59" s="33"/>
      <c r="W59" s="32"/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5"/>
      <c r="AP59" s="36"/>
      <c r="AQ59" s="35"/>
      <c r="AR59" s="36"/>
      <c r="AS59" s="35"/>
      <c r="AT59" s="36"/>
      <c r="AU59" s="35"/>
      <c r="AV59" s="36"/>
      <c r="AW59" s="35"/>
      <c r="AX59" s="36"/>
      <c r="AY59" s="37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40">
        <f t="shared" ref="BR59:BS59" si="59">D59+F59+H59+J59+L59+N59+V59+X59+Z59+AB59+AD59+AF59+AZ59+BB59+BD59+BF59+BH59+AH59+P59+R59+AJ59+BJ59+AL59+AN59+AP59+AR59+AT59+AX59+AV59+BL59+T59+BN59+BP59</f>
        <v>0</v>
      </c>
      <c r="BS59" s="41">
        <f t="shared" si="59"/>
        <v>0</v>
      </c>
      <c r="BT59" s="42"/>
      <c r="BU59" s="42"/>
      <c r="BV59" s="43" t="str">
        <f t="shared" si="3"/>
        <v/>
      </c>
      <c r="BW59" s="44" t="str">
        <f t="shared" si="4"/>
        <v/>
      </c>
      <c r="BX59" s="45" t="str">
        <f t="shared" si="5"/>
        <v/>
      </c>
    </row>
    <row r="60" ht="12.0" customHeight="1">
      <c r="A60" s="101"/>
      <c r="B60" s="29"/>
      <c r="C60" s="30"/>
      <c r="D60" s="33"/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32"/>
      <c r="R60" s="33"/>
      <c r="S60" s="32"/>
      <c r="T60" s="33"/>
      <c r="U60" s="32"/>
      <c r="V60" s="33"/>
      <c r="W60" s="32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/>
      <c r="AN60" s="36"/>
      <c r="AO60" s="35"/>
      <c r="AP60" s="36"/>
      <c r="AQ60" s="35"/>
      <c r="AR60" s="36"/>
      <c r="AS60" s="35"/>
      <c r="AT60" s="36"/>
      <c r="AU60" s="35"/>
      <c r="AV60" s="36"/>
      <c r="AW60" s="35"/>
      <c r="AX60" s="36"/>
      <c r="AY60" s="37"/>
      <c r="AZ60" s="38"/>
      <c r="BA60" s="39"/>
      <c r="BB60" s="38"/>
      <c r="BC60" s="39"/>
      <c r="BD60" s="38"/>
      <c r="BE60" s="39"/>
      <c r="BF60" s="38"/>
      <c r="BG60" s="39"/>
      <c r="BH60" s="38"/>
      <c r="BI60" s="39"/>
      <c r="BJ60" s="38"/>
      <c r="BK60" s="39"/>
      <c r="BL60" s="38"/>
      <c r="BM60" s="39"/>
      <c r="BN60" s="38"/>
      <c r="BO60" s="39"/>
      <c r="BP60" s="38"/>
      <c r="BQ60" s="39"/>
      <c r="BR60" s="40">
        <f t="shared" ref="BR60:BS60" si="60">D60+F60+H60+J60+L60+N60+V60+X60+Z60+AB60+AD60+AF60+AZ60+BB60+BD60+BF60+BH60+AH60+P60+R60+AJ60+BJ60+AL60+AN60+AP60+AR60+AT60+AX60+AV60+BL60+T60+BN60+BP60</f>
        <v>0</v>
      </c>
      <c r="BS60" s="41">
        <f t="shared" si="60"/>
        <v>0</v>
      </c>
      <c r="BT60" s="42"/>
      <c r="BU60" s="42"/>
      <c r="BV60" s="43" t="str">
        <f t="shared" si="3"/>
        <v/>
      </c>
      <c r="BW60" s="44" t="str">
        <f t="shared" si="4"/>
        <v/>
      </c>
      <c r="BX60" s="45" t="str">
        <f t="shared" si="5"/>
        <v/>
      </c>
    </row>
    <row r="61" ht="12.0" customHeight="1">
      <c r="A61" s="101"/>
      <c r="B61" s="29"/>
      <c r="C61" s="30"/>
      <c r="D61" s="33"/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32"/>
      <c r="P61" s="33"/>
      <c r="Q61" s="32"/>
      <c r="R61" s="33"/>
      <c r="S61" s="32"/>
      <c r="T61" s="33"/>
      <c r="U61" s="32"/>
      <c r="V61" s="33"/>
      <c r="W61" s="32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/>
      <c r="AN61" s="36"/>
      <c r="AO61" s="35"/>
      <c r="AP61" s="36"/>
      <c r="AQ61" s="35"/>
      <c r="AR61" s="36"/>
      <c r="AS61" s="35"/>
      <c r="AT61" s="36"/>
      <c r="AU61" s="35"/>
      <c r="AV61" s="36"/>
      <c r="AW61" s="35"/>
      <c r="AX61" s="36"/>
      <c r="AY61" s="37"/>
      <c r="AZ61" s="38"/>
      <c r="BA61" s="39"/>
      <c r="BB61" s="38"/>
      <c r="BC61" s="39"/>
      <c r="BD61" s="38"/>
      <c r="BE61" s="39"/>
      <c r="BF61" s="38"/>
      <c r="BG61" s="39"/>
      <c r="BH61" s="38"/>
      <c r="BI61" s="39"/>
      <c r="BJ61" s="38"/>
      <c r="BK61" s="39"/>
      <c r="BL61" s="38"/>
      <c r="BM61" s="39"/>
      <c r="BN61" s="38"/>
      <c r="BO61" s="39"/>
      <c r="BP61" s="38"/>
      <c r="BQ61" s="39"/>
      <c r="BR61" s="40">
        <f t="shared" ref="BR61:BS61" si="61">D61+F61+H61+J61+L61+N61+V61+X61+Z61+AB61+AD61+AF61+AZ61+BB61+BD61+BF61+BH61+AH61+P61+R61+AJ61+BJ61+AL61+AN61+AP61+AR61+AT61+AX61+AV61+BL61+T61+BN61+BP61</f>
        <v>0</v>
      </c>
      <c r="BS61" s="41">
        <f t="shared" si="61"/>
        <v>0</v>
      </c>
      <c r="BT61" s="42"/>
      <c r="BU61" s="42"/>
      <c r="BV61" s="43" t="str">
        <f t="shared" si="3"/>
        <v/>
      </c>
      <c r="BW61" s="44" t="str">
        <f t="shared" si="4"/>
        <v/>
      </c>
      <c r="BX61" s="45" t="str">
        <f t="shared" si="5"/>
        <v/>
      </c>
    </row>
    <row r="62" ht="12.0" customHeight="1">
      <c r="A62" s="101"/>
      <c r="B62" s="29"/>
      <c r="C62" s="30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  <c r="Q62" s="32"/>
      <c r="R62" s="33"/>
      <c r="S62" s="32"/>
      <c r="T62" s="33"/>
      <c r="U62" s="32"/>
      <c r="V62" s="33"/>
      <c r="W62" s="32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5"/>
      <c r="AP62" s="36"/>
      <c r="AQ62" s="35"/>
      <c r="AR62" s="36"/>
      <c r="AS62" s="35"/>
      <c r="AT62" s="36"/>
      <c r="AU62" s="35"/>
      <c r="AV62" s="36"/>
      <c r="AW62" s="35"/>
      <c r="AX62" s="36"/>
      <c r="AY62" s="37"/>
      <c r="AZ62" s="38"/>
      <c r="BA62" s="39"/>
      <c r="BB62" s="38"/>
      <c r="BC62" s="39"/>
      <c r="BD62" s="38"/>
      <c r="BE62" s="39"/>
      <c r="BF62" s="38"/>
      <c r="BG62" s="39"/>
      <c r="BH62" s="38"/>
      <c r="BI62" s="39"/>
      <c r="BJ62" s="38"/>
      <c r="BK62" s="39"/>
      <c r="BL62" s="38"/>
      <c r="BM62" s="39"/>
      <c r="BN62" s="38"/>
      <c r="BO62" s="39"/>
      <c r="BP62" s="38"/>
      <c r="BQ62" s="39"/>
      <c r="BR62" s="40">
        <f t="shared" ref="BR62:BS62" si="62">D62+F62+H62+J62+L62+N62+V62+X62+Z62+AB62+AD62+AF62+AZ62+BB62+BD62+BF62+BH62+AH62+P62+R62+AJ62+BJ62+AL62+AN62+AP62+AR62+AT62+AX62+AV62+BL62+T62+BN62+BP62</f>
        <v>0</v>
      </c>
      <c r="BS62" s="41">
        <f t="shared" si="62"/>
        <v>0</v>
      </c>
      <c r="BT62" s="42"/>
      <c r="BU62" s="42"/>
      <c r="BV62" s="43" t="str">
        <f t="shared" si="3"/>
        <v/>
      </c>
      <c r="BW62" s="44" t="str">
        <f t="shared" si="4"/>
        <v/>
      </c>
      <c r="BX62" s="45" t="str">
        <f t="shared" si="5"/>
        <v/>
      </c>
    </row>
    <row r="63" ht="12.0" customHeight="1">
      <c r="A63" s="101"/>
      <c r="B63" s="29"/>
      <c r="C63" s="30"/>
      <c r="D63" s="33"/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32"/>
      <c r="P63" s="33"/>
      <c r="Q63" s="32"/>
      <c r="R63" s="33"/>
      <c r="S63" s="32"/>
      <c r="T63" s="33"/>
      <c r="U63" s="32"/>
      <c r="V63" s="33"/>
      <c r="W63" s="32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5"/>
      <c r="AP63" s="36"/>
      <c r="AQ63" s="35"/>
      <c r="AR63" s="36"/>
      <c r="AS63" s="35"/>
      <c r="AT63" s="36"/>
      <c r="AU63" s="35"/>
      <c r="AV63" s="36"/>
      <c r="AW63" s="35"/>
      <c r="AX63" s="36"/>
      <c r="AY63" s="37"/>
      <c r="AZ63" s="38"/>
      <c r="BA63" s="39"/>
      <c r="BB63" s="38"/>
      <c r="BC63" s="39"/>
      <c r="BD63" s="38"/>
      <c r="BE63" s="39"/>
      <c r="BF63" s="38"/>
      <c r="BG63" s="39"/>
      <c r="BH63" s="38"/>
      <c r="BI63" s="39"/>
      <c r="BJ63" s="38"/>
      <c r="BK63" s="39"/>
      <c r="BL63" s="38"/>
      <c r="BM63" s="39"/>
      <c r="BN63" s="38"/>
      <c r="BO63" s="39"/>
      <c r="BP63" s="38"/>
      <c r="BQ63" s="39"/>
      <c r="BR63" s="40">
        <f t="shared" ref="BR63:BS63" si="63">D63+F63+H63+J63+L63+N63+V63+X63+Z63+AB63+AD63+AF63+AZ63+BB63+BD63+BF63+BH63+AH63+P63+R63+AJ63+BJ63+AL63+AN63+AP63+AR63+AT63+AX63+AV63+BL63+T63+BN63+BP63</f>
        <v>0</v>
      </c>
      <c r="BS63" s="41">
        <f t="shared" si="63"/>
        <v>0</v>
      </c>
      <c r="BT63" s="42"/>
      <c r="BU63" s="42"/>
      <c r="BV63" s="43" t="str">
        <f t="shared" si="3"/>
        <v/>
      </c>
      <c r="BW63" s="44" t="str">
        <f t="shared" si="4"/>
        <v/>
      </c>
      <c r="BX63" s="45" t="str">
        <f t="shared" si="5"/>
        <v/>
      </c>
    </row>
    <row r="64" ht="12.0" customHeight="1">
      <c r="A64" s="101"/>
      <c r="B64" s="29"/>
      <c r="C64" s="30"/>
      <c r="D64" s="33"/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32"/>
      <c r="R64" s="33"/>
      <c r="S64" s="32"/>
      <c r="T64" s="33"/>
      <c r="U64" s="32"/>
      <c r="V64" s="33"/>
      <c r="W64" s="32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5"/>
      <c r="AP64" s="36"/>
      <c r="AQ64" s="35"/>
      <c r="AR64" s="36"/>
      <c r="AS64" s="35"/>
      <c r="AT64" s="36"/>
      <c r="AU64" s="35"/>
      <c r="AV64" s="36"/>
      <c r="AW64" s="35"/>
      <c r="AX64" s="36"/>
      <c r="AY64" s="37"/>
      <c r="AZ64" s="38"/>
      <c r="BA64" s="39"/>
      <c r="BB64" s="38"/>
      <c r="BC64" s="39"/>
      <c r="BD64" s="38"/>
      <c r="BE64" s="39"/>
      <c r="BF64" s="38"/>
      <c r="BG64" s="39"/>
      <c r="BH64" s="38"/>
      <c r="BI64" s="39"/>
      <c r="BJ64" s="38"/>
      <c r="BK64" s="39"/>
      <c r="BL64" s="38"/>
      <c r="BM64" s="39"/>
      <c r="BN64" s="38"/>
      <c r="BO64" s="39"/>
      <c r="BP64" s="38"/>
      <c r="BQ64" s="39"/>
      <c r="BR64" s="40">
        <f t="shared" ref="BR64:BS64" si="64">D64+F64+H64+J64+L64+N64+V64+X64+Z64+AB64+AD64+AF64+AZ64+BB64+BD64+BF64+BH64+AH64+P64+R64+AJ64+BJ64+AL64+AN64+AP64+AR64+AT64+AX64+AV64+BL64+T64+BN64+BP64</f>
        <v>0</v>
      </c>
      <c r="BS64" s="41">
        <f t="shared" si="64"/>
        <v>0</v>
      </c>
      <c r="BT64" s="42"/>
      <c r="BU64" s="42"/>
      <c r="BV64" s="43" t="str">
        <f t="shared" si="3"/>
        <v/>
      </c>
      <c r="BW64" s="44" t="str">
        <f t="shared" si="4"/>
        <v/>
      </c>
      <c r="BX64" s="45" t="str">
        <f t="shared" si="5"/>
        <v/>
      </c>
    </row>
    <row r="65" ht="12.0" customHeight="1">
      <c r="A65" s="101"/>
      <c r="B65" s="29"/>
      <c r="C65" s="30"/>
      <c r="D65" s="33"/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32"/>
      <c r="R65" s="33"/>
      <c r="S65" s="32"/>
      <c r="T65" s="33"/>
      <c r="U65" s="32"/>
      <c r="V65" s="33"/>
      <c r="W65" s="32"/>
      <c r="X65" s="36"/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5"/>
      <c r="AP65" s="36"/>
      <c r="AQ65" s="35"/>
      <c r="AR65" s="36"/>
      <c r="AS65" s="35"/>
      <c r="AT65" s="36"/>
      <c r="AU65" s="35"/>
      <c r="AV65" s="36"/>
      <c r="AW65" s="35"/>
      <c r="AX65" s="36"/>
      <c r="AY65" s="37"/>
      <c r="AZ65" s="38"/>
      <c r="BA65" s="39"/>
      <c r="BB65" s="38"/>
      <c r="BC65" s="39"/>
      <c r="BD65" s="38"/>
      <c r="BE65" s="39"/>
      <c r="BF65" s="38"/>
      <c r="BG65" s="39"/>
      <c r="BH65" s="38"/>
      <c r="BI65" s="39"/>
      <c r="BJ65" s="38"/>
      <c r="BK65" s="39"/>
      <c r="BL65" s="38"/>
      <c r="BM65" s="39"/>
      <c r="BN65" s="38"/>
      <c r="BO65" s="39"/>
      <c r="BP65" s="38"/>
      <c r="BQ65" s="39"/>
      <c r="BR65" s="40">
        <f t="shared" ref="BR65:BS65" si="65">D65+F65+H65+J65+L65+N65+V65+X65+Z65+AB65+AD65+AF65+AZ65+BB65+BD65+BF65+BH65+AH65+P65+R65+AJ65+BJ65+AL65+AN65+AP65+AR65+AT65+AX65+AV65+BL65+T65+BN65+BP65</f>
        <v>0</v>
      </c>
      <c r="BS65" s="41">
        <f t="shared" si="65"/>
        <v>0</v>
      </c>
      <c r="BT65" s="42"/>
      <c r="BU65" s="42"/>
      <c r="BV65" s="43" t="str">
        <f t="shared" si="3"/>
        <v/>
      </c>
      <c r="BW65" s="44" t="str">
        <f t="shared" si="4"/>
        <v/>
      </c>
      <c r="BX65" s="45" t="str">
        <f t="shared" si="5"/>
        <v/>
      </c>
    </row>
    <row r="66" ht="12.0" customHeight="1">
      <c r="A66" s="101"/>
      <c r="B66" s="29"/>
      <c r="C66" s="30"/>
      <c r="D66" s="33"/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32"/>
      <c r="R66" s="33"/>
      <c r="S66" s="32"/>
      <c r="T66" s="33"/>
      <c r="U66" s="32"/>
      <c r="V66" s="33"/>
      <c r="W66" s="32"/>
      <c r="X66" s="36"/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5"/>
      <c r="AP66" s="36"/>
      <c r="AQ66" s="35"/>
      <c r="AR66" s="36"/>
      <c r="AS66" s="35"/>
      <c r="AT66" s="36"/>
      <c r="AU66" s="35"/>
      <c r="AV66" s="36"/>
      <c r="AW66" s="35"/>
      <c r="AX66" s="36"/>
      <c r="AY66" s="37"/>
      <c r="AZ66" s="38"/>
      <c r="BA66" s="39"/>
      <c r="BB66" s="38"/>
      <c r="BC66" s="39"/>
      <c r="BD66" s="38"/>
      <c r="BE66" s="39"/>
      <c r="BF66" s="38"/>
      <c r="BG66" s="39"/>
      <c r="BH66" s="38"/>
      <c r="BI66" s="39"/>
      <c r="BJ66" s="38"/>
      <c r="BK66" s="39"/>
      <c r="BL66" s="38"/>
      <c r="BM66" s="39"/>
      <c r="BN66" s="38"/>
      <c r="BO66" s="39"/>
      <c r="BP66" s="38"/>
      <c r="BQ66" s="39"/>
      <c r="BR66" s="40">
        <f t="shared" ref="BR66:BS66" si="66">D66+F66+H66+J66+L66+N66+V66+X66+Z66+AB66+AD66+AF66+AZ66+BB66+BD66+BF66+BH66+AH66+P66+R66+AJ66+BJ66+AL66+AN66+AP66+AR66+AT66+AX66+AV66+BL66+T66+BN66+BP66</f>
        <v>0</v>
      </c>
      <c r="BS66" s="41">
        <f t="shared" si="66"/>
        <v>0</v>
      </c>
      <c r="BT66" s="42"/>
      <c r="BU66" s="42"/>
      <c r="BV66" s="43" t="str">
        <f t="shared" si="3"/>
        <v/>
      </c>
      <c r="BW66" s="44" t="str">
        <f t="shared" si="4"/>
        <v/>
      </c>
      <c r="BX66" s="45" t="str">
        <f t="shared" si="5"/>
        <v/>
      </c>
    </row>
    <row r="67" ht="12.0" customHeight="1">
      <c r="A67" s="101"/>
      <c r="B67" s="29"/>
      <c r="C67" s="30"/>
      <c r="D67" s="33"/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32"/>
      <c r="R67" s="33"/>
      <c r="S67" s="32"/>
      <c r="T67" s="33"/>
      <c r="U67" s="32"/>
      <c r="V67" s="33"/>
      <c r="W67" s="32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5"/>
      <c r="AP67" s="36"/>
      <c r="AQ67" s="35"/>
      <c r="AR67" s="36"/>
      <c r="AS67" s="35"/>
      <c r="AT67" s="36"/>
      <c r="AU67" s="35"/>
      <c r="AV67" s="36"/>
      <c r="AW67" s="35"/>
      <c r="AX67" s="36"/>
      <c r="AY67" s="37"/>
      <c r="AZ67" s="38"/>
      <c r="BA67" s="39"/>
      <c r="BB67" s="38"/>
      <c r="BC67" s="39"/>
      <c r="BD67" s="38"/>
      <c r="BE67" s="39"/>
      <c r="BF67" s="38"/>
      <c r="BG67" s="39"/>
      <c r="BH67" s="38"/>
      <c r="BI67" s="39"/>
      <c r="BJ67" s="38"/>
      <c r="BK67" s="39"/>
      <c r="BL67" s="38"/>
      <c r="BM67" s="39"/>
      <c r="BN67" s="38"/>
      <c r="BO67" s="39"/>
      <c r="BP67" s="38"/>
      <c r="BQ67" s="39"/>
      <c r="BR67" s="40">
        <f t="shared" ref="BR67:BS67" si="67">D67+F67+H67+J67+L67+N67+V67+X67+Z67+AB67+AD67+AF67+AZ67+BB67+BD67+BF67+BH67+AH67+P67+R67+AJ67+BJ67+AL67+AN67+AP67+AR67+AT67+AX67+AV67+BL67+T67+BN67+BP67</f>
        <v>0</v>
      </c>
      <c r="BS67" s="41">
        <f t="shared" si="67"/>
        <v>0</v>
      </c>
      <c r="BT67" s="42"/>
      <c r="BU67" s="42"/>
      <c r="BV67" s="43" t="str">
        <f t="shared" si="3"/>
        <v/>
      </c>
      <c r="BW67" s="44" t="str">
        <f t="shared" si="4"/>
        <v/>
      </c>
      <c r="BX67" s="45" t="str">
        <f t="shared" si="5"/>
        <v/>
      </c>
    </row>
    <row r="68" ht="12.0" customHeight="1">
      <c r="A68" s="101"/>
      <c r="B68" s="29"/>
      <c r="C68" s="30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  <c r="Q68" s="32"/>
      <c r="R68" s="33"/>
      <c r="S68" s="32"/>
      <c r="T68" s="33"/>
      <c r="U68" s="32"/>
      <c r="V68" s="33"/>
      <c r="W68" s="32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5"/>
      <c r="AP68" s="36"/>
      <c r="AQ68" s="35"/>
      <c r="AR68" s="36"/>
      <c r="AS68" s="35"/>
      <c r="AT68" s="36"/>
      <c r="AU68" s="35"/>
      <c r="AV68" s="36"/>
      <c r="AW68" s="35"/>
      <c r="AX68" s="36"/>
      <c r="AY68" s="37"/>
      <c r="AZ68" s="38"/>
      <c r="BA68" s="39"/>
      <c r="BB68" s="38"/>
      <c r="BC68" s="39"/>
      <c r="BD68" s="38"/>
      <c r="BE68" s="39"/>
      <c r="BF68" s="38"/>
      <c r="BG68" s="39"/>
      <c r="BH68" s="38"/>
      <c r="BI68" s="39"/>
      <c r="BJ68" s="38"/>
      <c r="BK68" s="39"/>
      <c r="BL68" s="38"/>
      <c r="BM68" s="39"/>
      <c r="BN68" s="38"/>
      <c r="BO68" s="39"/>
      <c r="BP68" s="38"/>
      <c r="BQ68" s="39"/>
      <c r="BR68" s="40">
        <f t="shared" ref="BR68:BS68" si="68">D68+F68+H68+J68+L68+N68+V68+X68+Z68+AB68+AD68+AF68+AZ68+BB68+BD68+BF68+BH68+AH68+P68+R68+AJ68+BJ68+AL68+AN68+AP68+AR68+AT68+AX68+AV68+BL68+T68+BN68+BP68</f>
        <v>0</v>
      </c>
      <c r="BS68" s="41">
        <f t="shared" si="68"/>
        <v>0</v>
      </c>
      <c r="BT68" s="42"/>
      <c r="BU68" s="42"/>
      <c r="BV68" s="43" t="str">
        <f t="shared" si="3"/>
        <v/>
      </c>
      <c r="BW68" s="44" t="str">
        <f t="shared" si="4"/>
        <v/>
      </c>
      <c r="BX68" s="45" t="str">
        <f t="shared" si="5"/>
        <v/>
      </c>
    </row>
    <row r="69" ht="12.0" customHeight="1">
      <c r="A69" s="101"/>
      <c r="B69" s="29"/>
      <c r="C69" s="30"/>
      <c r="D69" s="33"/>
      <c r="E69" s="32"/>
      <c r="F69" s="33"/>
      <c r="G69" s="32"/>
      <c r="H69" s="33"/>
      <c r="I69" s="32"/>
      <c r="J69" s="33"/>
      <c r="K69" s="32"/>
      <c r="L69" s="33"/>
      <c r="M69" s="32"/>
      <c r="N69" s="33"/>
      <c r="O69" s="32"/>
      <c r="P69" s="33"/>
      <c r="Q69" s="32"/>
      <c r="R69" s="33"/>
      <c r="S69" s="32"/>
      <c r="T69" s="33"/>
      <c r="U69" s="32"/>
      <c r="V69" s="33"/>
      <c r="W69" s="32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5"/>
      <c r="AP69" s="36"/>
      <c r="AQ69" s="35"/>
      <c r="AR69" s="36"/>
      <c r="AS69" s="35"/>
      <c r="AT69" s="36"/>
      <c r="AU69" s="35"/>
      <c r="AV69" s="36"/>
      <c r="AW69" s="35"/>
      <c r="AX69" s="36"/>
      <c r="AY69" s="37"/>
      <c r="AZ69" s="38"/>
      <c r="BA69" s="39"/>
      <c r="BB69" s="38"/>
      <c r="BC69" s="39"/>
      <c r="BD69" s="38"/>
      <c r="BE69" s="39"/>
      <c r="BF69" s="38"/>
      <c r="BG69" s="39"/>
      <c r="BH69" s="38"/>
      <c r="BI69" s="39"/>
      <c r="BJ69" s="38"/>
      <c r="BK69" s="39"/>
      <c r="BL69" s="38"/>
      <c r="BM69" s="39"/>
      <c r="BN69" s="38"/>
      <c r="BO69" s="39"/>
      <c r="BP69" s="38"/>
      <c r="BQ69" s="39"/>
      <c r="BR69" s="40">
        <f t="shared" ref="BR69:BS69" si="69">D69+F69+H69+J69+L69+N69+V69+X69+Z69+AB69+AD69+AF69+AZ69+BB69+BD69+BF69+BH69+AH69+P69+R69+AJ69+BJ69+AL69+AN69+AP69+AR69+AT69+AX69+AV69+BL69+T69+BN69+BP69</f>
        <v>0</v>
      </c>
      <c r="BS69" s="41">
        <f t="shared" si="69"/>
        <v>0</v>
      </c>
      <c r="BT69" s="42"/>
      <c r="BU69" s="42"/>
      <c r="BV69" s="43" t="str">
        <f t="shared" si="3"/>
        <v/>
      </c>
      <c r="BW69" s="44" t="str">
        <f t="shared" si="4"/>
        <v/>
      </c>
      <c r="BX69" s="45" t="str">
        <f t="shared" si="5"/>
        <v/>
      </c>
    </row>
    <row r="70" ht="12.0" customHeight="1">
      <c r="A70" s="101"/>
      <c r="B70" s="107"/>
      <c r="C70" s="108"/>
      <c r="D70" s="109"/>
      <c r="E70" s="110"/>
      <c r="F70" s="109"/>
      <c r="G70" s="110"/>
      <c r="H70" s="109"/>
      <c r="I70" s="110"/>
      <c r="J70" s="109"/>
      <c r="K70" s="110"/>
      <c r="L70" s="109"/>
      <c r="M70" s="110"/>
      <c r="N70" s="109"/>
      <c r="O70" s="110"/>
      <c r="P70" s="109"/>
      <c r="Q70" s="110"/>
      <c r="R70" s="109"/>
      <c r="S70" s="110"/>
      <c r="T70" s="109"/>
      <c r="U70" s="110"/>
      <c r="V70" s="109"/>
      <c r="W70" s="110"/>
      <c r="X70" s="111"/>
      <c r="Y70" s="112"/>
      <c r="Z70" s="111"/>
      <c r="AA70" s="112"/>
      <c r="AB70" s="111"/>
      <c r="AC70" s="112"/>
      <c r="AD70" s="111"/>
      <c r="AE70" s="112"/>
      <c r="AF70" s="111"/>
      <c r="AG70" s="112"/>
      <c r="AH70" s="111"/>
      <c r="AI70" s="112"/>
      <c r="AJ70" s="111"/>
      <c r="AK70" s="112"/>
      <c r="AL70" s="111"/>
      <c r="AM70" s="112"/>
      <c r="AN70" s="111"/>
      <c r="AO70" s="112"/>
      <c r="AP70" s="111"/>
      <c r="AQ70" s="112"/>
      <c r="AR70" s="111"/>
      <c r="AS70" s="112"/>
      <c r="AT70" s="111"/>
      <c r="AU70" s="112"/>
      <c r="AV70" s="111"/>
      <c r="AW70" s="112"/>
      <c r="AX70" s="111"/>
      <c r="AY70" s="113"/>
      <c r="AZ70" s="114"/>
      <c r="BA70" s="115"/>
      <c r="BB70" s="114"/>
      <c r="BC70" s="115"/>
      <c r="BD70" s="114"/>
      <c r="BE70" s="115"/>
      <c r="BF70" s="114"/>
      <c r="BG70" s="115"/>
      <c r="BH70" s="114"/>
      <c r="BI70" s="115"/>
      <c r="BJ70" s="114"/>
      <c r="BK70" s="115"/>
      <c r="BL70" s="114"/>
      <c r="BM70" s="115"/>
      <c r="BN70" s="114"/>
      <c r="BO70" s="115"/>
      <c r="BP70" s="114"/>
      <c r="BQ70" s="115"/>
      <c r="BR70" s="40">
        <f t="shared" ref="BR70:BS70" si="70">D70+F70+H70+J70+L70+N70+V70+X70+Z70+AB70+AD70+AF70+AZ70+BB70+BD70+BF70+BH70+AH70+P70+R70+AJ70+BJ70+AL70+AN70+AP70+AR70+AT70+AX70+AV70+BL70+T70+BN70+BP70</f>
        <v>0</v>
      </c>
      <c r="BS70" s="41">
        <f t="shared" si="70"/>
        <v>0</v>
      </c>
      <c r="BT70" s="116"/>
      <c r="BU70" s="116"/>
      <c r="BV70" s="43" t="str">
        <f t="shared" si="3"/>
        <v/>
      </c>
      <c r="BW70" s="44" t="str">
        <f t="shared" si="4"/>
        <v/>
      </c>
      <c r="BX70" s="45" t="str">
        <f t="shared" si="5"/>
        <v/>
      </c>
    </row>
    <row r="71" ht="16.5" customHeight="1">
      <c r="A71" s="1"/>
      <c r="B71" s="47" t="s">
        <v>27</v>
      </c>
      <c r="C71" s="8"/>
      <c r="D71" s="48">
        <f t="shared" ref="D71:BU71" si="71">SUM(D4:D70)</f>
        <v>0</v>
      </c>
      <c r="E71" s="49">
        <f t="shared" si="71"/>
        <v>0</v>
      </c>
      <c r="F71" s="48">
        <f t="shared" si="71"/>
        <v>0</v>
      </c>
      <c r="G71" s="49">
        <f t="shared" si="71"/>
        <v>0</v>
      </c>
      <c r="H71" s="48">
        <f t="shared" si="71"/>
        <v>0</v>
      </c>
      <c r="I71" s="49">
        <f t="shared" si="71"/>
        <v>0</v>
      </c>
      <c r="J71" s="48">
        <f t="shared" si="71"/>
        <v>0</v>
      </c>
      <c r="K71" s="49">
        <f t="shared" si="71"/>
        <v>0</v>
      </c>
      <c r="L71" s="48">
        <f t="shared" si="71"/>
        <v>0</v>
      </c>
      <c r="M71" s="49">
        <f t="shared" si="71"/>
        <v>0</v>
      </c>
      <c r="N71" s="48">
        <f t="shared" si="71"/>
        <v>0</v>
      </c>
      <c r="O71" s="49">
        <f t="shared" si="71"/>
        <v>0</v>
      </c>
      <c r="P71" s="48">
        <f t="shared" si="71"/>
        <v>0</v>
      </c>
      <c r="Q71" s="49">
        <f t="shared" si="71"/>
        <v>0</v>
      </c>
      <c r="R71" s="48">
        <f t="shared" si="71"/>
        <v>0</v>
      </c>
      <c r="S71" s="49">
        <f t="shared" si="71"/>
        <v>0</v>
      </c>
      <c r="T71" s="48">
        <f t="shared" si="71"/>
        <v>0</v>
      </c>
      <c r="U71" s="49">
        <f t="shared" si="71"/>
        <v>0</v>
      </c>
      <c r="V71" s="48">
        <f t="shared" si="71"/>
        <v>0</v>
      </c>
      <c r="W71" s="49">
        <f t="shared" si="71"/>
        <v>0</v>
      </c>
      <c r="X71" s="51">
        <f t="shared" si="71"/>
        <v>0</v>
      </c>
      <c r="Y71" s="52">
        <f t="shared" si="71"/>
        <v>0</v>
      </c>
      <c r="Z71" s="51">
        <f t="shared" si="71"/>
        <v>0</v>
      </c>
      <c r="AA71" s="52">
        <f t="shared" si="71"/>
        <v>0</v>
      </c>
      <c r="AB71" s="51">
        <f t="shared" si="71"/>
        <v>0</v>
      </c>
      <c r="AC71" s="52">
        <f t="shared" si="71"/>
        <v>0</v>
      </c>
      <c r="AD71" s="51">
        <f t="shared" si="71"/>
        <v>0</v>
      </c>
      <c r="AE71" s="52">
        <f t="shared" si="71"/>
        <v>0</v>
      </c>
      <c r="AF71" s="51">
        <f t="shared" si="71"/>
        <v>0</v>
      </c>
      <c r="AG71" s="52">
        <f t="shared" si="71"/>
        <v>0</v>
      </c>
      <c r="AH71" s="51">
        <f t="shared" si="71"/>
        <v>0</v>
      </c>
      <c r="AI71" s="52">
        <f t="shared" si="71"/>
        <v>0</v>
      </c>
      <c r="AJ71" s="51">
        <f t="shared" si="71"/>
        <v>0</v>
      </c>
      <c r="AK71" s="52">
        <f t="shared" si="71"/>
        <v>0</v>
      </c>
      <c r="AL71" s="51">
        <f t="shared" si="71"/>
        <v>0</v>
      </c>
      <c r="AM71" s="52">
        <f t="shared" si="71"/>
        <v>0</v>
      </c>
      <c r="AN71" s="51">
        <f t="shared" si="71"/>
        <v>0</v>
      </c>
      <c r="AO71" s="52">
        <f t="shared" si="71"/>
        <v>0</v>
      </c>
      <c r="AP71" s="51">
        <f t="shared" si="71"/>
        <v>0</v>
      </c>
      <c r="AQ71" s="52">
        <f t="shared" si="71"/>
        <v>0</v>
      </c>
      <c r="AR71" s="51">
        <f t="shared" si="71"/>
        <v>0</v>
      </c>
      <c r="AS71" s="52">
        <f t="shared" si="71"/>
        <v>0</v>
      </c>
      <c r="AT71" s="51">
        <f t="shared" si="71"/>
        <v>0</v>
      </c>
      <c r="AU71" s="52">
        <f t="shared" si="71"/>
        <v>0</v>
      </c>
      <c r="AV71" s="51">
        <f t="shared" si="71"/>
        <v>0</v>
      </c>
      <c r="AW71" s="52">
        <f t="shared" si="71"/>
        <v>0</v>
      </c>
      <c r="AX71" s="51">
        <f t="shared" si="71"/>
        <v>0</v>
      </c>
      <c r="AY71" s="52">
        <f t="shared" si="71"/>
        <v>0</v>
      </c>
      <c r="AZ71" s="54">
        <f t="shared" si="71"/>
        <v>0</v>
      </c>
      <c r="BA71" s="55">
        <f t="shared" si="71"/>
        <v>0</v>
      </c>
      <c r="BB71" s="54">
        <f t="shared" si="71"/>
        <v>0</v>
      </c>
      <c r="BC71" s="55">
        <f t="shared" si="71"/>
        <v>0</v>
      </c>
      <c r="BD71" s="54">
        <f t="shared" si="71"/>
        <v>0</v>
      </c>
      <c r="BE71" s="55">
        <f t="shared" si="71"/>
        <v>0</v>
      </c>
      <c r="BF71" s="54">
        <f t="shared" si="71"/>
        <v>0</v>
      </c>
      <c r="BG71" s="55">
        <f t="shared" si="71"/>
        <v>0</v>
      </c>
      <c r="BH71" s="54">
        <f t="shared" si="71"/>
        <v>0</v>
      </c>
      <c r="BI71" s="55">
        <f t="shared" si="71"/>
        <v>0</v>
      </c>
      <c r="BJ71" s="54">
        <f t="shared" si="71"/>
        <v>0</v>
      </c>
      <c r="BK71" s="55">
        <f t="shared" si="71"/>
        <v>0</v>
      </c>
      <c r="BL71" s="54">
        <f t="shared" si="71"/>
        <v>0</v>
      </c>
      <c r="BM71" s="55">
        <f t="shared" si="71"/>
        <v>0</v>
      </c>
      <c r="BN71" s="54">
        <f t="shared" si="71"/>
        <v>0</v>
      </c>
      <c r="BO71" s="55">
        <f t="shared" si="71"/>
        <v>0</v>
      </c>
      <c r="BP71" s="54">
        <f t="shared" si="71"/>
        <v>0</v>
      </c>
      <c r="BQ71" s="55">
        <f t="shared" si="71"/>
        <v>0</v>
      </c>
      <c r="BR71" s="130" t="str">
        <f t="shared" si="71"/>
        <v>#VALUE!</v>
      </c>
      <c r="BS71" s="57" t="str">
        <f t="shared" si="71"/>
        <v>#VALUE!</v>
      </c>
      <c r="BT71" s="147">
        <f t="shared" si="71"/>
        <v>0</v>
      </c>
      <c r="BU71" s="148">
        <f t="shared" si="71"/>
        <v>0</v>
      </c>
      <c r="BV71" s="126" t="str">
        <f>BR71/BT71</f>
        <v>#VALUE!</v>
      </c>
      <c r="BW71" s="149" t="str">
        <f>BR71/BS71</f>
        <v>#VALUE!</v>
      </c>
      <c r="BX71" s="149" t="str">
        <f>BR71/BU71</f>
        <v>#VALUE!</v>
      </c>
    </row>
    <row r="72" ht="12.0" customHeight="1">
      <c r="A72" s="1"/>
      <c r="D72" s="2"/>
      <c r="E72" s="2"/>
      <c r="F72" s="2"/>
      <c r="G72" s="2"/>
      <c r="H72" s="2"/>
      <c r="BR72" s="3"/>
      <c r="BS72" s="3"/>
    </row>
    <row r="73" ht="12.0" customHeight="1">
      <c r="A73" s="1"/>
      <c r="D73" s="2"/>
      <c r="E73" s="2"/>
      <c r="F73" s="2"/>
      <c r="G73" s="2"/>
      <c r="H73" s="2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65" t="s">
        <v>14</v>
      </c>
      <c r="I74" s="103"/>
      <c r="BR74" s="3"/>
      <c r="BS74" s="3"/>
    </row>
    <row r="75" ht="12.0" customHeight="1">
      <c r="A75" s="66" t="s">
        <v>33</v>
      </c>
      <c r="B75" s="60">
        <f>COUNTIF(B4:B70,"*RCL*")</f>
        <v>0</v>
      </c>
      <c r="C75" s="3" t="s">
        <v>34</v>
      </c>
      <c r="D75" s="67">
        <f t="shared" ref="D75:F75" si="72">SUMIF($B$4:$B$70,"RCL",BR4:BR70)</f>
        <v>0</v>
      </c>
      <c r="E75" s="68">
        <f t="shared" si="72"/>
        <v>0</v>
      </c>
      <c r="F75" s="67">
        <f t="shared" si="72"/>
        <v>0</v>
      </c>
      <c r="G75" s="69" t="str">
        <f t="shared" ref="G75:G91" si="74">IF(D75=0, "", D75/F75)</f>
        <v/>
      </c>
      <c r="H75" s="70" t="str">
        <f t="shared" ref="H75:H91" si="75">IF(D75=0, "",D75/E75)</f>
        <v/>
      </c>
      <c r="I75" s="104" t="str">
        <f>IF(D75=0, "",D75/B75)</f>
        <v/>
      </c>
      <c r="BR75" s="3"/>
      <c r="BS75" s="3"/>
    </row>
    <row r="76" ht="12.0" customHeight="1">
      <c r="A76" s="66" t="s">
        <v>35</v>
      </c>
      <c r="B76" s="60">
        <f>COUNTIF(B4:B70,"*NCL*")</f>
        <v>0</v>
      </c>
      <c r="C76" s="3" t="s">
        <v>36</v>
      </c>
      <c r="D76" s="72">
        <f t="shared" ref="D76:F76" si="73">SUMIF($B$4:$B$70,"NCL",BR4:BR70)</f>
        <v>0</v>
      </c>
      <c r="E76" s="73">
        <f t="shared" si="73"/>
        <v>0</v>
      </c>
      <c r="F76" s="72">
        <f t="shared" si="73"/>
        <v>0</v>
      </c>
      <c r="G76" s="74" t="str">
        <f t="shared" si="74"/>
        <v/>
      </c>
      <c r="H76" s="75" t="str">
        <f t="shared" si="75"/>
        <v/>
      </c>
      <c r="I76" s="104"/>
      <c r="BR76" s="3"/>
      <c r="BS76" s="3"/>
    </row>
    <row r="77" ht="12.0" customHeight="1">
      <c r="A77" s="66" t="s">
        <v>37</v>
      </c>
      <c r="B77" s="60">
        <f>COUNTIF(B4:B70,"*DCL*")</f>
        <v>0</v>
      </c>
      <c r="C77" s="3" t="s">
        <v>38</v>
      </c>
      <c r="D77" s="72">
        <f t="shared" ref="D77:F77" si="76">SUMIF($B$4:$B$70,"DCL",BR4:BR70)</f>
        <v>0</v>
      </c>
      <c r="E77" s="73">
        <f t="shared" si="76"/>
        <v>0</v>
      </c>
      <c r="F77" s="72">
        <f t="shared" si="76"/>
        <v>0</v>
      </c>
      <c r="G77" s="74" t="str">
        <f t="shared" si="74"/>
        <v/>
      </c>
      <c r="H77" s="75" t="str">
        <f t="shared" si="75"/>
        <v/>
      </c>
      <c r="I77" s="104"/>
      <c r="BR77" s="3"/>
      <c r="BS77" s="3"/>
    </row>
    <row r="78" ht="12.0" customHeight="1">
      <c r="A78" s="66" t="s">
        <v>39</v>
      </c>
      <c r="B78" s="60">
        <f>COUNTIF(B4:B70,"*CEL*")</f>
        <v>0</v>
      </c>
      <c r="C78" s="3" t="s">
        <v>40</v>
      </c>
      <c r="D78" s="72">
        <f t="shared" ref="D78:F78" si="77">SUMIF($B$4:$B$70,"CEL",BR4:BR70)</f>
        <v>0</v>
      </c>
      <c r="E78" s="73">
        <f t="shared" si="77"/>
        <v>0</v>
      </c>
      <c r="F78" s="72">
        <f t="shared" si="77"/>
        <v>0</v>
      </c>
      <c r="G78" s="74" t="str">
        <f t="shared" si="74"/>
        <v/>
      </c>
      <c r="H78" s="75" t="str">
        <f t="shared" si="75"/>
        <v/>
      </c>
      <c r="I78" s="104"/>
      <c r="BR78" s="3"/>
      <c r="BS78" s="3"/>
    </row>
    <row r="79" ht="12.0" customHeight="1">
      <c r="A79" s="66" t="s">
        <v>41</v>
      </c>
      <c r="B79" s="60">
        <f>COUNTIF(B4:B70,"*CCL*")</f>
        <v>0</v>
      </c>
      <c r="C79" s="3" t="s">
        <v>42</v>
      </c>
      <c r="D79" s="72">
        <f t="shared" ref="D79:F79" si="78">SUMIF($B$4:$B$70,"CCL",BR4:BR70)</f>
        <v>0</v>
      </c>
      <c r="E79" s="73">
        <f t="shared" si="78"/>
        <v>0</v>
      </c>
      <c r="F79" s="72">
        <f t="shared" si="78"/>
        <v>0</v>
      </c>
      <c r="G79" s="74" t="str">
        <f t="shared" si="74"/>
        <v/>
      </c>
      <c r="H79" s="75" t="str">
        <f t="shared" si="75"/>
        <v/>
      </c>
      <c r="I79" s="104"/>
      <c r="BR79" s="3"/>
      <c r="BS79" s="3"/>
    </row>
    <row r="80" ht="12.0" customHeight="1">
      <c r="A80" s="66" t="s">
        <v>43</v>
      </c>
      <c r="B80" s="60">
        <f>COUNTIF(B4:B70,"*PCL*")</f>
        <v>0</v>
      </c>
      <c r="C80" s="3" t="s">
        <v>44</v>
      </c>
      <c r="D80" s="72">
        <f t="shared" ref="D80:F80" si="79">SUMIF($B$4:$B$70,"PCL",BR4:BR70)</f>
        <v>0</v>
      </c>
      <c r="E80" s="73">
        <f t="shared" si="79"/>
        <v>0</v>
      </c>
      <c r="F80" s="72">
        <f t="shared" si="79"/>
        <v>0</v>
      </c>
      <c r="G80" s="74" t="str">
        <f t="shared" si="74"/>
        <v/>
      </c>
      <c r="H80" s="75" t="str">
        <f t="shared" si="75"/>
        <v/>
      </c>
      <c r="I80" s="104"/>
      <c r="BR80" s="3"/>
      <c r="BS80" s="3"/>
    </row>
    <row r="81" ht="12.0" customHeight="1">
      <c r="A81" s="66" t="s">
        <v>45</v>
      </c>
      <c r="B81" s="60">
        <f>COUNTIF(B4:B70,"*HAL*")</f>
        <v>0</v>
      </c>
      <c r="C81" s="3" t="s">
        <v>46</v>
      </c>
      <c r="D81" s="72">
        <f t="shared" ref="D81:F81" si="80">SUMIF($B$4:$B$70,"HAL",BR4:BR70)</f>
        <v>0</v>
      </c>
      <c r="E81" s="73">
        <f t="shared" si="80"/>
        <v>0</v>
      </c>
      <c r="F81" s="72">
        <f t="shared" si="80"/>
        <v>0</v>
      </c>
      <c r="G81" s="74" t="str">
        <f t="shared" si="74"/>
        <v/>
      </c>
      <c r="H81" s="75" t="str">
        <f t="shared" si="75"/>
        <v/>
      </c>
      <c r="I81" s="104"/>
      <c r="BR81" s="3"/>
      <c r="BS81" s="3"/>
    </row>
    <row r="82" ht="12.0" customHeight="1">
      <c r="A82" s="66" t="s">
        <v>47</v>
      </c>
      <c r="B82" s="60">
        <f>COUNTIF(B4:B70,"*Silver*")</f>
        <v>0</v>
      </c>
      <c r="C82" s="3" t="s">
        <v>48</v>
      </c>
      <c r="D82" s="72">
        <f t="shared" ref="D82:F82" si="81">SUMIF($B$4:$B$70,"Silver",BR4:BR70)</f>
        <v>0</v>
      </c>
      <c r="E82" s="73">
        <f t="shared" si="81"/>
        <v>0</v>
      </c>
      <c r="F82" s="72">
        <f t="shared" si="81"/>
        <v>0</v>
      </c>
      <c r="G82" s="74" t="str">
        <f t="shared" si="74"/>
        <v/>
      </c>
      <c r="H82" s="75" t="str">
        <f t="shared" si="75"/>
        <v/>
      </c>
      <c r="I82" s="104"/>
      <c r="BR82" s="3"/>
      <c r="BS82" s="3"/>
    </row>
    <row r="83" ht="12.0" customHeight="1">
      <c r="A83" s="66" t="s">
        <v>49</v>
      </c>
      <c r="B83" s="60">
        <f>COUNTIF(B4:B70,"*Viking*")</f>
        <v>0</v>
      </c>
      <c r="C83" s="3" t="s">
        <v>49</v>
      </c>
      <c r="D83" s="72">
        <f t="shared" ref="D83:F83" si="82">SUMIF($B$4:$B$70,"Viking",BR4:BR70)</f>
        <v>0</v>
      </c>
      <c r="E83" s="73">
        <f t="shared" si="82"/>
        <v>0</v>
      </c>
      <c r="F83" s="72">
        <f t="shared" si="82"/>
        <v>0</v>
      </c>
      <c r="G83" s="74" t="str">
        <f t="shared" si="74"/>
        <v/>
      </c>
      <c r="H83" s="75" t="str">
        <f t="shared" si="75"/>
        <v/>
      </c>
      <c r="I83" s="104"/>
      <c r="BR83" s="3"/>
      <c r="BS83" s="3"/>
    </row>
    <row r="84" ht="12.0" customHeight="1">
      <c r="A84" s="66" t="s">
        <v>50</v>
      </c>
      <c r="B84" s="60">
        <f>COUNTIF(B4:B70,"*Azamara*")</f>
        <v>0</v>
      </c>
      <c r="C84" s="3" t="s">
        <v>50</v>
      </c>
      <c r="D84" s="72">
        <f t="shared" ref="D84:F84" si="83">SUMIF($B$4:$B$70,"Azamara",BR4:BR70)</f>
        <v>0</v>
      </c>
      <c r="E84" s="73">
        <f t="shared" si="83"/>
        <v>0</v>
      </c>
      <c r="F84" s="72">
        <f t="shared" si="83"/>
        <v>0</v>
      </c>
      <c r="G84" s="74" t="str">
        <f t="shared" si="74"/>
        <v/>
      </c>
      <c r="H84" s="75" t="str">
        <f t="shared" si="75"/>
        <v/>
      </c>
      <c r="I84" s="104"/>
      <c r="BR84" s="3"/>
      <c r="BS84" s="3"/>
    </row>
    <row r="85" ht="12.0" customHeight="1">
      <c r="A85" s="66" t="s">
        <v>51</v>
      </c>
      <c r="B85" s="60">
        <f>COUNTIF(B4:B70,"*TUI*")</f>
        <v>0</v>
      </c>
      <c r="C85" s="3" t="s">
        <v>51</v>
      </c>
      <c r="D85" s="72">
        <f t="shared" ref="D85:F85" si="84">SUMIF($B$4:$B$70,"TUI",BR4:BR70)</f>
        <v>0</v>
      </c>
      <c r="E85" s="73">
        <f t="shared" si="84"/>
        <v>0</v>
      </c>
      <c r="F85" s="72">
        <f t="shared" si="84"/>
        <v>0</v>
      </c>
      <c r="G85" s="74" t="str">
        <f t="shared" si="74"/>
        <v/>
      </c>
      <c r="H85" s="75" t="str">
        <f t="shared" si="75"/>
        <v/>
      </c>
      <c r="I85" s="104"/>
      <c r="BR85" s="3"/>
      <c r="BS85" s="3"/>
    </row>
    <row r="86" ht="12.0" customHeight="1">
      <c r="A86" s="66" t="s">
        <v>52</v>
      </c>
      <c r="B86" s="60">
        <f>COUNTIF(B4:B70,"*Marella*")</f>
        <v>0</v>
      </c>
      <c r="C86" s="3" t="s">
        <v>52</v>
      </c>
      <c r="D86" s="72">
        <f t="shared" ref="D86:F86" si="85">SUMIF($B$4:$B$70,"Marella",BR4:BR70)</f>
        <v>0</v>
      </c>
      <c r="E86" s="73">
        <f t="shared" si="85"/>
        <v>0</v>
      </c>
      <c r="F86" s="72">
        <f t="shared" si="85"/>
        <v>0</v>
      </c>
      <c r="G86" s="74" t="str">
        <f t="shared" si="74"/>
        <v/>
      </c>
      <c r="H86" s="75" t="str">
        <f t="shared" si="75"/>
        <v/>
      </c>
      <c r="I86" s="104"/>
      <c r="BR86" s="3"/>
      <c r="BS86" s="3"/>
    </row>
    <row r="87" ht="12.0" customHeight="1">
      <c r="A87" s="66" t="s">
        <v>53</v>
      </c>
      <c r="B87" s="60">
        <f>COUNTIF(B4:B70,"*MSC*")</f>
        <v>0</v>
      </c>
      <c r="C87" s="3" t="s">
        <v>53</v>
      </c>
      <c r="D87" s="72">
        <f t="shared" ref="D87:F87" si="86">SUMIF($B$4:$B$70,"MSC",BR4:BR70)</f>
        <v>0</v>
      </c>
      <c r="E87" s="73">
        <f t="shared" si="86"/>
        <v>0</v>
      </c>
      <c r="F87" s="72">
        <f t="shared" si="86"/>
        <v>0</v>
      </c>
      <c r="G87" s="74" t="str">
        <f t="shared" si="74"/>
        <v/>
      </c>
      <c r="H87" s="75" t="str">
        <f t="shared" si="75"/>
        <v/>
      </c>
      <c r="I87" s="104"/>
      <c r="BR87" s="3"/>
      <c r="BS87" s="3"/>
    </row>
    <row r="88" ht="12.0" customHeight="1">
      <c r="A88" s="66" t="s">
        <v>54</v>
      </c>
      <c r="B88" s="60">
        <f>COUNTIF(B4:B70,"*Regent*")</f>
        <v>0</v>
      </c>
      <c r="C88" s="3" t="s">
        <v>54</v>
      </c>
      <c r="D88" s="72">
        <f t="shared" ref="D88:F88" si="87">SUMIF($B$4:$B$70,"Regent",BR4:BR70)</f>
        <v>0</v>
      </c>
      <c r="E88" s="73">
        <f t="shared" si="87"/>
        <v>0</v>
      </c>
      <c r="F88" s="72">
        <f t="shared" si="87"/>
        <v>0</v>
      </c>
      <c r="G88" s="74" t="str">
        <f t="shared" si="74"/>
        <v/>
      </c>
      <c r="H88" s="75" t="str">
        <f t="shared" si="75"/>
        <v/>
      </c>
      <c r="I88" s="104"/>
      <c r="BR88" s="3"/>
      <c r="BS88" s="3"/>
    </row>
    <row r="89" ht="12.0" customHeight="1">
      <c r="A89" s="66" t="s">
        <v>55</v>
      </c>
      <c r="B89" s="60">
        <f>COUNTIF(B5:B71,"*Windstar*")</f>
        <v>0</v>
      </c>
      <c r="C89" s="3" t="s">
        <v>55</v>
      </c>
      <c r="D89" s="72">
        <f t="shared" ref="D89:F89" si="88">SUMIF($B$4:$B$70,"Windstar",BR4:BR70)</f>
        <v>0</v>
      </c>
      <c r="E89" s="73">
        <f t="shared" si="88"/>
        <v>0</v>
      </c>
      <c r="F89" s="72">
        <f t="shared" si="88"/>
        <v>0</v>
      </c>
      <c r="G89" s="74" t="str">
        <f t="shared" si="74"/>
        <v/>
      </c>
      <c r="H89" s="75" t="str">
        <f t="shared" si="75"/>
        <v/>
      </c>
      <c r="I89" s="104"/>
      <c r="BR89" s="3"/>
      <c r="BS89" s="3"/>
    </row>
    <row r="90" ht="12.0" customHeight="1">
      <c r="A90" s="66" t="s">
        <v>56</v>
      </c>
      <c r="B90" s="60">
        <f>COUNTIF(B6:B72,"*Explora*")</f>
        <v>0</v>
      </c>
      <c r="C90" s="3" t="s">
        <v>56</v>
      </c>
      <c r="D90" s="72">
        <f t="shared" ref="D90:F90" si="89">SUMIF($B$4:$B$70,"Explora",BR4:BR70)</f>
        <v>0</v>
      </c>
      <c r="E90" s="73">
        <f t="shared" si="89"/>
        <v>0</v>
      </c>
      <c r="F90" s="72">
        <f t="shared" si="89"/>
        <v>0</v>
      </c>
      <c r="G90" s="74" t="str">
        <f t="shared" si="74"/>
        <v/>
      </c>
      <c r="H90" s="75" t="str">
        <f t="shared" si="75"/>
        <v/>
      </c>
      <c r="I90" s="104"/>
      <c r="BR90" s="3"/>
      <c r="BS90" s="3"/>
    </row>
    <row r="91" ht="12.0" customHeight="1">
      <c r="A91" s="76" t="s">
        <v>57</v>
      </c>
      <c r="B91" s="77">
        <f>COUNTIF(B7:B73,"*Cunard*")</f>
        <v>0</v>
      </c>
      <c r="C91" s="78" t="s">
        <v>57</v>
      </c>
      <c r="D91" s="79">
        <f t="shared" ref="D91:F91" si="90">SUMIF($B$4:$B$70,"Cunard",BR4:BR70)</f>
        <v>0</v>
      </c>
      <c r="E91" s="80">
        <f t="shared" si="90"/>
        <v>0</v>
      </c>
      <c r="F91" s="79">
        <f t="shared" si="90"/>
        <v>0</v>
      </c>
      <c r="G91" s="81" t="str">
        <f t="shared" si="74"/>
        <v/>
      </c>
      <c r="H91" s="82" t="str">
        <f t="shared" si="75"/>
        <v/>
      </c>
      <c r="I91" s="105"/>
      <c r="BR91" s="3"/>
      <c r="BS91" s="3"/>
    </row>
    <row r="92" ht="12.0" customHeight="1">
      <c r="A92" s="1"/>
      <c r="D92" s="2"/>
      <c r="E92" s="2"/>
      <c r="F92" s="2"/>
      <c r="G92" s="2"/>
      <c r="H92" s="2"/>
      <c r="BR92" s="3"/>
      <c r="BS92" s="3"/>
    </row>
    <row r="93" ht="12.0" customHeight="1">
      <c r="A93" s="1"/>
      <c r="D93" s="2"/>
      <c r="E93" s="2"/>
      <c r="F93" s="2"/>
      <c r="G93" s="2"/>
      <c r="H93" s="2"/>
      <c r="BR93" s="3"/>
      <c r="BS93" s="3"/>
    </row>
    <row r="94" ht="12.0" customHeight="1">
      <c r="A94" s="61"/>
      <c r="B94" s="62" t="s">
        <v>28</v>
      </c>
      <c r="C94" s="62"/>
      <c r="D94" s="85" t="s">
        <v>30</v>
      </c>
      <c r="E94" s="64" t="s">
        <v>31</v>
      </c>
      <c r="F94" s="86" t="s">
        <v>11</v>
      </c>
      <c r="G94" s="64" t="s">
        <v>13</v>
      </c>
      <c r="H94" s="86" t="s">
        <v>14</v>
      </c>
      <c r="I94" s="106"/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>
        <f>SUMIF($C$4:$C$70,"Vista",$BR$4:$BR$70)</f>
        <v>0</v>
      </c>
      <c r="E95" s="73">
        <f>SUMIF($C$4:$C$70,"Vista",$BS$4:$BS$70)</f>
        <v>0</v>
      </c>
      <c r="F95" s="89">
        <f>SUMIF($C$4:$C$70,"Vista",$BT$4:$BT$70)</f>
        <v>0</v>
      </c>
      <c r="G95" s="90" t="str">
        <f t="shared" ref="G95:G118" si="91">IF(D95=0, "", D95/F95)</f>
        <v/>
      </c>
      <c r="H95" s="91" t="str">
        <f t="shared" ref="H95:H118" si="92">IF(D95=0, "",D95/E95)</f>
        <v/>
      </c>
      <c r="I95" s="92" t="str">
        <f t="shared" ref="I95:I118" si="93">IF(D95=0, "",D95/B95)</f>
        <v/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>
        <f>SUMIF($C$4:$C$70,"Conquest",$BR$4:$BR$70)</f>
        <v>0</v>
      </c>
      <c r="E96" s="73">
        <f>SUMIF($C$4:$C$70,"Conquest",$BS$4:$BS$70)</f>
        <v>0</v>
      </c>
      <c r="F96" s="89">
        <f>SUMIF($C$4:$C$70,"Conquest",$BT$4:$BT$70)</f>
        <v>0</v>
      </c>
      <c r="G96" s="90" t="str">
        <f t="shared" si="91"/>
        <v/>
      </c>
      <c r="H96" s="91" t="str">
        <f t="shared" si="92"/>
        <v/>
      </c>
      <c r="I96" s="92" t="str">
        <f t="shared" si="93"/>
        <v/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>
        <f>SUMIF($C$4:$C$70,"Glory",$BR$4:$BR$70)</f>
        <v>0</v>
      </c>
      <c r="E97" s="73">
        <f>SUMIF($C$4:$C$70,"Glory",$BS$4:$BS$70)</f>
        <v>0</v>
      </c>
      <c r="F97" s="89">
        <f>SUMIF($C$4:$C$70,"Glory",$BT$4:$BT$70)</f>
        <v>0</v>
      </c>
      <c r="G97" s="90" t="str">
        <f t="shared" si="91"/>
        <v/>
      </c>
      <c r="H97" s="91" t="str">
        <f t="shared" si="92"/>
        <v/>
      </c>
      <c r="I97" s="92" t="str">
        <f t="shared" si="93"/>
        <v/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>
        <f>SUMIF($C$4:$C$70,"Liberty",$BR$4:$BR$70)</f>
        <v>0</v>
      </c>
      <c r="E98" s="73">
        <f>SUMIF($C$4:$C$70,"Liberty",$BS$4:$BS$70)</f>
        <v>0</v>
      </c>
      <c r="F98" s="89">
        <f>SUMIF($C$4:$C$70,"Liberty",$BT$4:$BT$70)</f>
        <v>0</v>
      </c>
      <c r="G98" s="90" t="str">
        <f t="shared" si="91"/>
        <v/>
      </c>
      <c r="H98" s="91" t="str">
        <f t="shared" si="92"/>
        <v/>
      </c>
      <c r="I98" s="92" t="str">
        <f t="shared" si="93"/>
        <v/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>
        <f>SUMIF($C$4:$C$70,"Freedom",$BR$4:$BR$70)</f>
        <v>0</v>
      </c>
      <c r="E99" s="73">
        <f>SUMIF($C$4:$C$70,"Freedom",$BS$4:$BS$70)</f>
        <v>0</v>
      </c>
      <c r="F99" s="89">
        <f>SUMIF($C$4:$C$70,"Freedom",$BT$4:$BT$70)</f>
        <v>0</v>
      </c>
      <c r="G99" s="90" t="str">
        <f t="shared" si="91"/>
        <v/>
      </c>
      <c r="H99" s="91" t="str">
        <f t="shared" si="92"/>
        <v/>
      </c>
      <c r="I99" s="92" t="str">
        <f t="shared" si="93"/>
        <v/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>
        <f>SUMIF($C$4:$C$70,"Elation",$BR$4:$BR$70)</f>
        <v>0</v>
      </c>
      <c r="E100" s="73">
        <f>SUMIF($C$4:$C$70,"Elation",$BS$4:$BS$70)</f>
        <v>0</v>
      </c>
      <c r="F100" s="89">
        <f>SUMIF($C$4:$C$70,"Elation",$BT$4:$BT$70)</f>
        <v>0</v>
      </c>
      <c r="G100" s="90" t="str">
        <f t="shared" si="91"/>
        <v/>
      </c>
      <c r="H100" s="91" t="str">
        <f t="shared" si="92"/>
        <v/>
      </c>
      <c r="I100" s="92" t="str">
        <f t="shared" si="93"/>
        <v/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>
        <f>SUMIF($C$4:$C$70,"Pride",$BR$4:$BR$70)</f>
        <v>0</v>
      </c>
      <c r="E101" s="73">
        <f>SUMIF($C$4:$C$70,"Pride",$BS$4:$BS$70)</f>
        <v>0</v>
      </c>
      <c r="F101" s="89">
        <f>SUMIF($C$4:$C$70,"Pride",$BT$4:$BT$70)</f>
        <v>0</v>
      </c>
      <c r="G101" s="90" t="str">
        <f t="shared" si="91"/>
        <v/>
      </c>
      <c r="H101" s="91" t="str">
        <f t="shared" si="92"/>
        <v/>
      </c>
      <c r="I101" s="92" t="str">
        <f t="shared" si="93"/>
        <v/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>
        <f>SUMIF($C$4:$C$70,"Mardi Gras",$BR$4:$BR$70)</f>
        <v>0</v>
      </c>
      <c r="E102" s="73">
        <f>SUMIF($C$4:$C$70,"Mardi Gras",$BS$4:$BS$70)</f>
        <v>0</v>
      </c>
      <c r="F102" s="89">
        <f>SUMIF($C$4:$C$70,"Mardi Gras",$BT$4:$BT$70)</f>
        <v>0</v>
      </c>
      <c r="G102" s="90" t="str">
        <f t="shared" si="91"/>
        <v/>
      </c>
      <c r="H102" s="91" t="str">
        <f t="shared" si="92"/>
        <v/>
      </c>
      <c r="I102" s="92" t="str">
        <f t="shared" si="93"/>
        <v/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>
        <f>SUMIF($C$4:$C$70,"Celebration",$BR$4:$BR$70)</f>
        <v>0</v>
      </c>
      <c r="E103" s="73">
        <f>SUMIF($C$4:$C$70,"Celebration",$BS$4:$BS$70)</f>
        <v>0</v>
      </c>
      <c r="F103" s="89">
        <f>SUMIF($C$4:$C$70,"Celebration",$BT$4:$BT$70)</f>
        <v>0</v>
      </c>
      <c r="G103" s="90" t="str">
        <f t="shared" si="91"/>
        <v/>
      </c>
      <c r="H103" s="91" t="str">
        <f t="shared" si="92"/>
        <v/>
      </c>
      <c r="I103" s="92" t="str">
        <f t="shared" si="93"/>
        <v/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>
        <f>SUMIF($C$4:$C$70,"Horizon",$BR$4:$BR$70)</f>
        <v>0</v>
      </c>
      <c r="E104" s="73">
        <f>SUMIF($C$4:$C$70,"Horizon",$BS$4:$BS$70)</f>
        <v>0</v>
      </c>
      <c r="F104" s="89">
        <f>SUMIF($C$4:$C$70,"Horizon",$BT$4:$BT$70)</f>
        <v>0</v>
      </c>
      <c r="G104" s="90" t="str">
        <f t="shared" si="91"/>
        <v/>
      </c>
      <c r="H104" s="91" t="str">
        <f t="shared" si="92"/>
        <v/>
      </c>
      <c r="I104" s="92" t="str">
        <f t="shared" si="93"/>
        <v/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>
        <f>SUMIF($C$4:$C$70,"Dream",$BR$4:$BR$70)</f>
        <v>0</v>
      </c>
      <c r="E105" s="73">
        <f>SUMIF($C$4:$C$70,"Dream",$BS$4:$BS$70)</f>
        <v>0</v>
      </c>
      <c r="F105" s="89">
        <f>SUMIF($C$4:$C$70,"Dream",$BT$4:$BT$70)</f>
        <v>0</v>
      </c>
      <c r="G105" s="90" t="str">
        <f t="shared" si="91"/>
        <v/>
      </c>
      <c r="H105" s="91" t="str">
        <f t="shared" si="92"/>
        <v/>
      </c>
      <c r="I105" s="92" t="str">
        <f t="shared" si="93"/>
        <v/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>
        <f>SUMIF($C$4:$C$70,"Sunrise",$BR$4:$BR$70)</f>
        <v>0</v>
      </c>
      <c r="E106" s="73">
        <f>SUMIF($C$4:$C$70,"Sunrise",$BS$4:$BS$70)</f>
        <v>0</v>
      </c>
      <c r="F106" s="89">
        <f>SUMIF($C$4:$C$70,"Sunrise",$BT$4:$BT$70)</f>
        <v>0</v>
      </c>
      <c r="G106" s="90" t="str">
        <f t="shared" si="91"/>
        <v/>
      </c>
      <c r="H106" s="91" t="str">
        <f t="shared" si="92"/>
        <v/>
      </c>
      <c r="I106" s="92" t="str">
        <f t="shared" si="93"/>
        <v/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>
        <f>SUMIF($C$4:$C$70,"Venezia",$BR$4:$BR$70)</f>
        <v>0</v>
      </c>
      <c r="E107" s="73">
        <f>SUMIF($C$4:$C$70,"Venezia",$BS$4:$BS$70)</f>
        <v>0</v>
      </c>
      <c r="F107" s="89">
        <f>SUMIF($C$4:$C$70,"Venezia",$BT$4:$BT$70)</f>
        <v>0</v>
      </c>
      <c r="G107" s="90" t="str">
        <f t="shared" si="91"/>
        <v/>
      </c>
      <c r="H107" s="91" t="str">
        <f t="shared" si="92"/>
        <v/>
      </c>
      <c r="I107" s="92" t="str">
        <f t="shared" si="93"/>
        <v/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>
        <f>SUMIF($C$4:$C$70,"Magic",$BR$4:$BR$70)</f>
        <v>0</v>
      </c>
      <c r="E108" s="73">
        <f>SUMIF($C$4:$C$70,"Magic",$BS$4:$BS$70)</f>
        <v>0</v>
      </c>
      <c r="F108" s="89">
        <f>SUMIF($C$4:$C$70,"Magic",$BT$4:$BT$70)</f>
        <v>0</v>
      </c>
      <c r="G108" s="90" t="str">
        <f t="shared" si="91"/>
        <v/>
      </c>
      <c r="H108" s="91" t="str">
        <f t="shared" si="92"/>
        <v/>
      </c>
      <c r="I108" s="92" t="str">
        <f t="shared" si="93"/>
        <v/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>
        <f>SUMIF($C$4:$C$70,"Panorama",$BR$4:$BR$70)</f>
        <v>0</v>
      </c>
      <c r="E109" s="73">
        <f>SUMIF($C$4:$C$70,"Panorama",$BS$4:$BS$70)</f>
        <v>0</v>
      </c>
      <c r="F109" s="89">
        <f>SUMIF($C$4:$C$70,"Panorama",$BT$4:$BT$70)</f>
        <v>0</v>
      </c>
      <c r="G109" s="90" t="str">
        <f t="shared" si="91"/>
        <v/>
      </c>
      <c r="H109" s="91" t="str">
        <f t="shared" si="92"/>
        <v/>
      </c>
      <c r="I109" s="92" t="str">
        <f t="shared" si="93"/>
        <v/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>
        <f>SUMIF($C$4:$C$70,"Sunshine",$BR$4:$BR$70)</f>
        <v>0</v>
      </c>
      <c r="E110" s="73">
        <f>SUMIF($C$4:$C$70,"Sunshine",$BS$4:$BS$70)</f>
        <v>0</v>
      </c>
      <c r="F110" s="89">
        <f>SUMIF($C$4:$C$70,"Sunshine",$BT$4:$BT$70)</f>
        <v>0</v>
      </c>
      <c r="G110" s="90" t="str">
        <f t="shared" si="91"/>
        <v/>
      </c>
      <c r="H110" s="91" t="str">
        <f t="shared" si="92"/>
        <v/>
      </c>
      <c r="I110" s="92" t="str">
        <f t="shared" si="93"/>
        <v/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>
        <f>SUMIF($C$4:$C$70,"Splendor",$BR$4:$BR$70)</f>
        <v>0</v>
      </c>
      <c r="E111" s="73">
        <f>SUMIF($C$4:$C$70,"Splendor",$BS$4:$BS$70)</f>
        <v>0</v>
      </c>
      <c r="F111" s="89">
        <f>SUMIF($C$4:$C$70,"Splendor",$BT$4:$BT$70)</f>
        <v>0</v>
      </c>
      <c r="G111" s="90" t="str">
        <f t="shared" si="91"/>
        <v/>
      </c>
      <c r="H111" s="91" t="str">
        <f t="shared" si="92"/>
        <v/>
      </c>
      <c r="I111" s="92" t="str">
        <f t="shared" si="93"/>
        <v/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>
        <f>SUMIF($C$4:$C$70,"Legend",$BR$4:$BR$70)</f>
        <v>0</v>
      </c>
      <c r="E112" s="73">
        <f>SUMIF($C$4:$C$70,"Legend",$BS$4:$BS$70)</f>
        <v>0</v>
      </c>
      <c r="F112" s="89">
        <f>SUMIF($C$4:$C$70,"Legend",$BT$4:$BT$70)</f>
        <v>0</v>
      </c>
      <c r="G112" s="90" t="str">
        <f t="shared" si="91"/>
        <v/>
      </c>
      <c r="H112" s="91" t="str">
        <f t="shared" si="92"/>
        <v/>
      </c>
      <c r="I112" s="92" t="str">
        <f t="shared" si="93"/>
        <v/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>
        <f>SUMIF($C$4:$C$70,"Jubilee",$BR$4:$BR$70)</f>
        <v>0</v>
      </c>
      <c r="E113" s="73">
        <f>SUMIF($C$4:$C$70,"Jubilee",$BS$4:$BS$70)</f>
        <v>0</v>
      </c>
      <c r="F113" s="89">
        <f>SUMIF($C$4:$C$70,"Jubilee",$BT$4:$BT$70)</f>
        <v>0</v>
      </c>
      <c r="G113" s="90" t="str">
        <f t="shared" si="91"/>
        <v/>
      </c>
      <c r="H113" s="91" t="str">
        <f t="shared" si="92"/>
        <v/>
      </c>
      <c r="I113" s="92" t="str">
        <f t="shared" si="93"/>
        <v/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>
        <f>SUMIF($C$4:$C$70,"Miracle",$BR$4:$BR$70)</f>
        <v>0</v>
      </c>
      <c r="E114" s="73">
        <f>SUMIF($C$4:$C$70,"Miracle",$BS$4:$BS$70)</f>
        <v>0</v>
      </c>
      <c r="F114" s="89">
        <f>SUMIF($C$4:$C$70,"Miracle",$BT$4:$BT$70)</f>
        <v>0</v>
      </c>
      <c r="G114" s="90" t="str">
        <f t="shared" si="91"/>
        <v/>
      </c>
      <c r="H114" s="91" t="str">
        <f t="shared" si="92"/>
        <v/>
      </c>
      <c r="I114" s="92" t="str">
        <f t="shared" si="93"/>
        <v/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>
        <f>SUMIF($C$4:$C$70,"Firenze",$BR$4:$BR$70)</f>
        <v>0</v>
      </c>
      <c r="E115" s="73">
        <f>SUMIF($C$4:$C$70,"Firenze",$BS$4:$BS$70)</f>
        <v>0</v>
      </c>
      <c r="F115" s="89">
        <f>SUMIF($C$4:$C$70,"Firenze",$BT$4:$BT$70)</f>
        <v>0</v>
      </c>
      <c r="G115" s="90" t="str">
        <f t="shared" si="91"/>
        <v/>
      </c>
      <c r="H115" s="91" t="str">
        <f t="shared" si="92"/>
        <v/>
      </c>
      <c r="I115" s="92" t="str">
        <f t="shared" si="93"/>
        <v/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>
        <f>SUMIF($C$4:$C$70,"Luminosa",$BR$4:$BR$70)</f>
        <v>0</v>
      </c>
      <c r="E116" s="73">
        <f>SUMIF($C$4:$C$70,"Luminosa",$BS$4:$BS$70)</f>
        <v>0</v>
      </c>
      <c r="F116" s="89">
        <f>SUMIF($C$4:$C$70,"Luminosa",$BT$4:$BT$70)</f>
        <v>0</v>
      </c>
      <c r="G116" s="90" t="str">
        <f t="shared" si="91"/>
        <v/>
      </c>
      <c r="H116" s="91" t="str">
        <f t="shared" si="92"/>
        <v/>
      </c>
      <c r="I116" s="92" t="str">
        <f t="shared" si="93"/>
        <v/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>
        <f>SUMIF($C$4:$C$70,"Radiance",$BR$4:$BR$70)</f>
        <v>0</v>
      </c>
      <c r="E117" s="73">
        <f>SUMIF($C$4:$C$70,"Radiance",$BS$4:$BS$70)</f>
        <v>0</v>
      </c>
      <c r="F117" s="89">
        <f>SUMIF($C$4:$C$70,"Radiance",$BT$4:$BT$70)</f>
        <v>0</v>
      </c>
      <c r="G117" s="90" t="str">
        <f t="shared" si="91"/>
        <v/>
      </c>
      <c r="H117" s="91" t="str">
        <f t="shared" si="92"/>
        <v/>
      </c>
      <c r="I117" s="92" t="str">
        <f t="shared" si="93"/>
        <v/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>
        <f>SUMIF($C$4:$C$70,"Sensation",$BR$4:$BR$70)</f>
        <v>0</v>
      </c>
      <c r="E118" s="80">
        <f>SUMIF($C$4:$C$70,"Sensation",$BS$4:$BS$70)</f>
        <v>0</v>
      </c>
      <c r="F118" s="96">
        <f>SUMIF($C$4:$C$70,"Sensation",$BT$4:$BT$70)</f>
        <v>0</v>
      </c>
      <c r="G118" s="97" t="str">
        <f t="shared" si="91"/>
        <v/>
      </c>
      <c r="H118" s="98" t="str">
        <f t="shared" si="92"/>
        <v/>
      </c>
      <c r="I118" s="99" t="str">
        <f t="shared" si="93"/>
        <v/>
      </c>
      <c r="BR118" s="3"/>
      <c r="BS118" s="3"/>
    </row>
    <row r="119" ht="12.0" customHeight="1">
      <c r="A119" s="1"/>
      <c r="D119" s="2"/>
      <c r="E119" s="2"/>
      <c r="F119" s="2"/>
      <c r="G119" s="2"/>
      <c r="H119" s="2"/>
      <c r="BR119" s="3"/>
      <c r="BS119" s="3"/>
    </row>
    <row r="120" ht="12.0" customHeight="1">
      <c r="A120" s="1"/>
      <c r="D120" s="2"/>
      <c r="E120" s="2"/>
      <c r="F120" s="2"/>
      <c r="G120" s="2"/>
      <c r="H120" s="2"/>
      <c r="BR120" s="3"/>
      <c r="BS120" s="3"/>
    </row>
    <row r="121" ht="12.0" customHeight="1">
      <c r="A121" s="1"/>
      <c r="D121" s="2"/>
      <c r="E121" s="2"/>
      <c r="F121" s="2"/>
      <c r="G121" s="2"/>
      <c r="H121" s="2"/>
      <c r="BR121" s="3"/>
      <c r="BS121" s="3"/>
    </row>
    <row r="122" ht="12.0" customHeight="1">
      <c r="A122" s="1"/>
      <c r="D122" s="2"/>
      <c r="E122" s="2"/>
      <c r="F122" s="2"/>
      <c r="G122" s="2"/>
      <c r="H122" s="2"/>
      <c r="BR122" s="3"/>
      <c r="BS122" s="3"/>
    </row>
    <row r="123" ht="12.0" customHeight="1">
      <c r="A123" s="1"/>
      <c r="D123" s="2"/>
      <c r="E123" s="2"/>
      <c r="F123" s="2"/>
      <c r="G123" s="2"/>
      <c r="H123" s="2"/>
      <c r="BR123" s="3"/>
      <c r="BS123" s="3"/>
    </row>
    <row r="124" ht="12.0" customHeight="1">
      <c r="A124" s="1"/>
      <c r="D124" s="2"/>
      <c r="E124" s="2"/>
      <c r="F124" s="2"/>
      <c r="G124" s="2"/>
      <c r="H124" s="2"/>
      <c r="BR124" s="3"/>
      <c r="BS124" s="3"/>
    </row>
    <row r="125" ht="12.0" customHeight="1">
      <c r="A125" s="1"/>
      <c r="D125" s="2"/>
      <c r="E125" s="2"/>
      <c r="F125" s="2"/>
      <c r="G125" s="2"/>
      <c r="H125" s="2"/>
      <c r="BR125" s="3"/>
      <c r="BS125" s="3"/>
    </row>
    <row r="126" ht="12.0" customHeight="1">
      <c r="A126" s="1"/>
      <c r="D126" s="2"/>
      <c r="E126" s="2"/>
      <c r="F126" s="2"/>
      <c r="G126" s="2"/>
      <c r="H126" s="2"/>
      <c r="BR126" s="3"/>
      <c r="BS126" s="3"/>
    </row>
    <row r="127" ht="12.0" customHeight="1">
      <c r="A127" s="1"/>
      <c r="D127" s="2"/>
      <c r="E127" s="2"/>
      <c r="F127" s="2"/>
      <c r="G127" s="2"/>
      <c r="H127" s="2"/>
      <c r="BR127" s="3"/>
      <c r="BS127" s="3"/>
    </row>
    <row r="128" ht="12.0" customHeight="1">
      <c r="A128" s="1"/>
      <c r="D128" s="2"/>
      <c r="E128" s="2"/>
      <c r="F128" s="2"/>
      <c r="G128" s="2"/>
      <c r="H128" s="2"/>
      <c r="BR128" s="3"/>
      <c r="BS128" s="3"/>
    </row>
    <row r="129" ht="12.0" customHeight="1">
      <c r="A129" s="1"/>
      <c r="D129" s="2"/>
      <c r="E129" s="2"/>
      <c r="F129" s="2"/>
      <c r="G129" s="2"/>
      <c r="H129" s="2"/>
      <c r="BR129" s="3"/>
      <c r="BS129" s="3"/>
    </row>
    <row r="130" ht="12.0" customHeight="1">
      <c r="A130" s="1"/>
      <c r="D130" s="2"/>
      <c r="E130" s="2"/>
      <c r="F130" s="2"/>
      <c r="G130" s="2"/>
      <c r="H130" s="2"/>
      <c r="BR130" s="3"/>
      <c r="BS130" s="3"/>
    </row>
    <row r="131" ht="12.0" customHeight="1">
      <c r="A131" s="1"/>
      <c r="D131" s="2"/>
      <c r="E131" s="2"/>
      <c r="F131" s="2"/>
      <c r="G131" s="2"/>
      <c r="H131" s="2"/>
      <c r="BR131" s="3"/>
      <c r="BS131" s="3"/>
    </row>
    <row r="132" ht="12.0" customHeight="1">
      <c r="A132" s="1"/>
      <c r="D132" s="2"/>
      <c r="E132" s="2"/>
      <c r="F132" s="2"/>
      <c r="G132" s="2"/>
      <c r="H132" s="2"/>
      <c r="BR132" s="3"/>
      <c r="BS132" s="3"/>
    </row>
    <row r="133" ht="12.0" customHeight="1">
      <c r="A133" s="1"/>
      <c r="D133" s="2"/>
      <c r="E133" s="2"/>
      <c r="F133" s="2"/>
      <c r="G133" s="2"/>
      <c r="H133" s="2"/>
      <c r="BR133" s="3"/>
      <c r="BS133" s="3"/>
    </row>
    <row r="134" ht="12.0" customHeight="1">
      <c r="A134" s="1"/>
      <c r="D134" s="2"/>
      <c r="E134" s="2"/>
      <c r="F134" s="2"/>
      <c r="G134" s="2"/>
      <c r="H134" s="2"/>
      <c r="BR134" s="3"/>
      <c r="BS134" s="3"/>
    </row>
    <row r="135" ht="12.0" customHeight="1">
      <c r="A135" s="1"/>
      <c r="D135" s="2"/>
      <c r="E135" s="2"/>
      <c r="F135" s="2"/>
      <c r="G135" s="2"/>
      <c r="H135" s="2"/>
      <c r="BR135" s="3"/>
      <c r="BS135" s="3"/>
    </row>
    <row r="136" ht="12.0" customHeight="1">
      <c r="A136" s="1"/>
      <c r="D136" s="2"/>
      <c r="E136" s="2"/>
      <c r="F136" s="2"/>
      <c r="G136" s="2"/>
      <c r="H136" s="2"/>
      <c r="BR136" s="3"/>
      <c r="BS136" s="3"/>
    </row>
    <row r="137" ht="12.0" customHeight="1">
      <c r="A137" s="1"/>
      <c r="D137" s="2"/>
      <c r="E137" s="2"/>
      <c r="F137" s="2"/>
      <c r="G137" s="2"/>
      <c r="H137" s="2"/>
      <c r="BR137" s="3"/>
      <c r="BS137" s="3"/>
    </row>
    <row r="138" ht="12.0" customHeight="1">
      <c r="A138" s="1"/>
      <c r="D138" s="2"/>
      <c r="E138" s="2"/>
      <c r="F138" s="2"/>
      <c r="G138" s="2"/>
      <c r="H138" s="2"/>
      <c r="BR138" s="3"/>
      <c r="BS138" s="3"/>
    </row>
    <row r="139" ht="12.0" customHeight="1">
      <c r="A139" s="1"/>
      <c r="D139" s="2"/>
      <c r="E139" s="2"/>
      <c r="F139" s="2"/>
      <c r="G139" s="2"/>
      <c r="H139" s="2"/>
      <c r="BR139" s="3"/>
      <c r="BS139" s="3"/>
    </row>
    <row r="140" ht="12.0" customHeight="1">
      <c r="A140" s="1"/>
      <c r="D140" s="2"/>
      <c r="E140" s="2"/>
      <c r="F140" s="2"/>
      <c r="G140" s="2"/>
      <c r="H140" s="2"/>
      <c r="BR140" s="3"/>
      <c r="BS140" s="3"/>
    </row>
    <row r="141" ht="12.0" customHeight="1">
      <c r="A141" s="1"/>
      <c r="D141" s="2"/>
      <c r="E141" s="2"/>
      <c r="F141" s="2"/>
      <c r="G141" s="2"/>
      <c r="H141" s="2"/>
      <c r="BR141" s="3"/>
      <c r="BS141" s="3"/>
    </row>
    <row r="142" ht="12.0" customHeight="1">
      <c r="A142" s="1"/>
      <c r="D142" s="2"/>
      <c r="E142" s="2"/>
      <c r="F142" s="2"/>
      <c r="G142" s="2"/>
      <c r="H142" s="2"/>
      <c r="BR142" s="3"/>
      <c r="BS142" s="3"/>
    </row>
    <row r="143" ht="12.0" customHeight="1">
      <c r="A143" s="1"/>
      <c r="D143" s="2"/>
      <c r="E143" s="2"/>
      <c r="F143" s="2"/>
      <c r="G143" s="2"/>
      <c r="H143" s="2"/>
      <c r="BR143" s="3"/>
      <c r="BS143" s="3"/>
    </row>
    <row r="144" ht="12.0" customHeight="1">
      <c r="A144" s="1"/>
      <c r="D144" s="2"/>
      <c r="E144" s="2"/>
      <c r="F144" s="2"/>
      <c r="G144" s="2"/>
      <c r="H144" s="2"/>
      <c r="BR144" s="3"/>
      <c r="BS144" s="3"/>
    </row>
    <row r="145" ht="12.0" customHeight="1">
      <c r="A145" s="1"/>
      <c r="D145" s="2"/>
      <c r="E145" s="2"/>
      <c r="F145" s="2"/>
      <c r="G145" s="2"/>
      <c r="H145" s="2"/>
      <c r="BR145" s="3"/>
      <c r="BS145" s="3"/>
    </row>
    <row r="146" ht="12.0" customHeight="1">
      <c r="A146" s="1"/>
      <c r="D146" s="2"/>
      <c r="E146" s="2"/>
      <c r="F146" s="2"/>
      <c r="G146" s="2"/>
      <c r="H146" s="2"/>
      <c r="BR146" s="3"/>
      <c r="BS146" s="3"/>
    </row>
    <row r="147" ht="12.0" customHeight="1">
      <c r="A147" s="1"/>
      <c r="D147" s="2"/>
      <c r="E147" s="2"/>
      <c r="F147" s="2"/>
      <c r="G147" s="2"/>
      <c r="H147" s="2"/>
      <c r="BR147" s="3"/>
      <c r="BS147" s="3"/>
    </row>
    <row r="148" ht="12.0" customHeight="1">
      <c r="A148" s="1"/>
      <c r="D148" s="2"/>
      <c r="E148" s="2"/>
      <c r="F148" s="2"/>
      <c r="G148" s="2"/>
      <c r="H148" s="2"/>
      <c r="BR148" s="3"/>
      <c r="BS148" s="3"/>
    </row>
    <row r="149" ht="12.0" customHeight="1">
      <c r="A149" s="1"/>
      <c r="D149" s="2"/>
      <c r="E149" s="2"/>
      <c r="F149" s="2"/>
      <c r="G149" s="2"/>
      <c r="H149" s="2"/>
      <c r="BR149" s="3"/>
      <c r="BS149" s="3"/>
    </row>
    <row r="150" ht="12.0" customHeight="1">
      <c r="A150" s="1"/>
      <c r="D150" s="2"/>
      <c r="E150" s="2"/>
      <c r="F150" s="2"/>
      <c r="G150" s="2"/>
      <c r="H150" s="2"/>
      <c r="BR150" s="3"/>
      <c r="BS150" s="3"/>
    </row>
    <row r="151" ht="12.0" customHeight="1">
      <c r="A151" s="1"/>
      <c r="D151" s="2"/>
      <c r="E151" s="2"/>
      <c r="F151" s="2"/>
      <c r="G151" s="2"/>
      <c r="H151" s="2"/>
      <c r="BR151" s="3"/>
      <c r="BS151" s="3"/>
    </row>
    <row r="152" ht="12.0" customHeight="1">
      <c r="A152" s="1"/>
      <c r="D152" s="2"/>
      <c r="E152" s="2"/>
      <c r="F152" s="2"/>
      <c r="G152" s="2"/>
      <c r="H152" s="2"/>
      <c r="BR152" s="3"/>
      <c r="BS152" s="3"/>
    </row>
    <row r="153" ht="12.0" customHeight="1">
      <c r="A153" s="1"/>
      <c r="D153" s="2"/>
      <c r="E153" s="2"/>
      <c r="F153" s="2"/>
      <c r="G153" s="2"/>
      <c r="H153" s="2"/>
      <c r="BR153" s="3"/>
      <c r="BS153" s="3"/>
    </row>
    <row r="154" ht="12.0" customHeight="1">
      <c r="A154" s="1"/>
      <c r="D154" s="2"/>
      <c r="E154" s="2"/>
      <c r="F154" s="2"/>
      <c r="G154" s="2"/>
      <c r="H154" s="2"/>
      <c r="BR154" s="3"/>
      <c r="BS154" s="3"/>
    </row>
    <row r="155" ht="12.0" customHeight="1">
      <c r="A155" s="1"/>
      <c r="D155" s="2"/>
      <c r="E155" s="2"/>
      <c r="F155" s="2"/>
      <c r="G155" s="2"/>
      <c r="H155" s="2"/>
      <c r="BR155" s="3"/>
      <c r="BS155" s="3"/>
    </row>
    <row r="156" ht="12.0" customHeight="1">
      <c r="A156" s="1"/>
      <c r="D156" s="2"/>
      <c r="E156" s="2"/>
      <c r="F156" s="2"/>
      <c r="G156" s="2"/>
      <c r="H156" s="2"/>
      <c r="BR156" s="3"/>
      <c r="BS156" s="3"/>
    </row>
    <row r="157" ht="12.0" customHeight="1">
      <c r="A157" s="1"/>
      <c r="D157" s="2"/>
      <c r="E157" s="2"/>
      <c r="F157" s="2"/>
      <c r="G157" s="2"/>
      <c r="H157" s="2"/>
      <c r="BR157" s="3"/>
      <c r="BS157" s="3"/>
    </row>
    <row r="158" ht="12.0" customHeight="1">
      <c r="A158" s="1"/>
      <c r="D158" s="2"/>
      <c r="E158" s="2"/>
      <c r="F158" s="2"/>
      <c r="G158" s="2"/>
      <c r="H158" s="2"/>
      <c r="BR158" s="3"/>
      <c r="BS158" s="3"/>
    </row>
    <row r="159" ht="12.0" customHeight="1">
      <c r="A159" s="1"/>
      <c r="D159" s="2"/>
      <c r="E159" s="2"/>
      <c r="F159" s="2"/>
      <c r="G159" s="2"/>
      <c r="H159" s="2"/>
      <c r="BR159" s="3"/>
      <c r="BS159" s="3"/>
    </row>
    <row r="160" ht="12.0" customHeight="1">
      <c r="A160" s="1"/>
      <c r="D160" s="2"/>
      <c r="E160" s="2"/>
      <c r="F160" s="2"/>
      <c r="G160" s="2"/>
      <c r="H160" s="2"/>
      <c r="BR160" s="3"/>
      <c r="BS160" s="3"/>
    </row>
    <row r="161" ht="12.0" customHeight="1">
      <c r="A161" s="1"/>
      <c r="D161" s="2"/>
      <c r="E161" s="2"/>
      <c r="F161" s="2"/>
      <c r="G161" s="2"/>
      <c r="H161" s="2"/>
      <c r="BR161" s="3"/>
      <c r="BS161" s="3"/>
    </row>
    <row r="162" ht="12.0" customHeight="1">
      <c r="A162" s="1"/>
      <c r="D162" s="2"/>
      <c r="E162" s="2"/>
      <c r="F162" s="2"/>
      <c r="G162" s="2"/>
      <c r="H162" s="2"/>
      <c r="BR162" s="3"/>
      <c r="BS162" s="3"/>
    </row>
    <row r="163" ht="12.0" customHeight="1">
      <c r="A163" s="1"/>
      <c r="D163" s="2"/>
      <c r="E163" s="2"/>
      <c r="F163" s="2"/>
      <c r="G163" s="2"/>
      <c r="H163" s="2"/>
      <c r="BR163" s="3"/>
      <c r="BS163" s="3"/>
    </row>
    <row r="164" ht="12.0" customHeight="1">
      <c r="A164" s="1"/>
      <c r="D164" s="2"/>
      <c r="E164" s="2"/>
      <c r="F164" s="2"/>
      <c r="G164" s="2"/>
      <c r="H164" s="2"/>
      <c r="BR164" s="3"/>
      <c r="BS164" s="3"/>
    </row>
    <row r="165" ht="12.0" customHeight="1">
      <c r="A165" s="1"/>
      <c r="D165" s="2"/>
      <c r="E165" s="2"/>
      <c r="F165" s="2"/>
      <c r="G165" s="2"/>
      <c r="H165" s="2"/>
      <c r="BR165" s="3"/>
      <c r="BS165" s="3"/>
    </row>
    <row r="166" ht="12.0" customHeight="1">
      <c r="A166" s="1"/>
      <c r="D166" s="2"/>
      <c r="E166" s="2"/>
      <c r="F166" s="2"/>
      <c r="G166" s="2"/>
      <c r="H166" s="2"/>
      <c r="BR166" s="3"/>
      <c r="BS166" s="3"/>
    </row>
    <row r="167" ht="12.0" customHeight="1">
      <c r="A167" s="1"/>
      <c r="D167" s="2"/>
      <c r="E167" s="2"/>
      <c r="F167" s="2"/>
      <c r="G167" s="2"/>
      <c r="H167" s="2"/>
      <c r="BR167" s="3"/>
      <c r="BS167" s="3"/>
    </row>
    <row r="168" ht="12.0" customHeight="1">
      <c r="A168" s="1"/>
      <c r="D168" s="2"/>
      <c r="E168" s="2"/>
      <c r="F168" s="2"/>
      <c r="G168" s="2"/>
      <c r="H168" s="2"/>
      <c r="BR168" s="3"/>
      <c r="BS168" s="3"/>
    </row>
    <row r="169" ht="12.0" customHeight="1">
      <c r="A169" s="1"/>
      <c r="D169" s="2"/>
      <c r="E169" s="2"/>
      <c r="F169" s="2"/>
      <c r="G169" s="2"/>
      <c r="H169" s="2"/>
      <c r="BR169" s="3"/>
      <c r="BS169" s="3"/>
    </row>
    <row r="170" ht="12.0" customHeight="1">
      <c r="A170" s="1"/>
      <c r="D170" s="2"/>
      <c r="E170" s="2"/>
      <c r="F170" s="2"/>
      <c r="G170" s="2"/>
      <c r="H170" s="2"/>
      <c r="BR170" s="3"/>
      <c r="BS170" s="3"/>
    </row>
    <row r="171" ht="12.0" customHeight="1">
      <c r="A171" s="1"/>
      <c r="D171" s="2"/>
      <c r="E171" s="2"/>
      <c r="F171" s="2"/>
      <c r="G171" s="2"/>
      <c r="H171" s="2"/>
      <c r="BR171" s="3"/>
      <c r="BS171" s="3"/>
    </row>
    <row r="172" ht="12.0" customHeight="1">
      <c r="A172" s="1"/>
      <c r="D172" s="2"/>
      <c r="E172" s="2"/>
      <c r="F172" s="2"/>
      <c r="G172" s="2"/>
      <c r="H172" s="2"/>
      <c r="BR172" s="3"/>
      <c r="BS172" s="3"/>
    </row>
    <row r="173" ht="12.0" customHeight="1">
      <c r="A173" s="1"/>
      <c r="D173" s="2"/>
      <c r="E173" s="2"/>
      <c r="F173" s="2"/>
      <c r="G173" s="2"/>
      <c r="H173" s="2"/>
      <c r="BR173" s="3"/>
      <c r="BS173" s="3"/>
    </row>
    <row r="174" ht="12.0" customHeight="1">
      <c r="A174" s="1"/>
      <c r="D174" s="2"/>
      <c r="E174" s="2"/>
      <c r="F174" s="2"/>
      <c r="G174" s="2"/>
      <c r="H174" s="2"/>
      <c r="BR174" s="3"/>
      <c r="BS174" s="3"/>
    </row>
    <row r="175" ht="12.0" customHeight="1">
      <c r="A175" s="1"/>
      <c r="D175" s="2"/>
      <c r="E175" s="2"/>
      <c r="F175" s="2"/>
      <c r="G175" s="2"/>
      <c r="H175" s="2"/>
      <c r="BR175" s="3"/>
      <c r="BS175" s="3"/>
    </row>
    <row r="176" ht="12.0" customHeight="1">
      <c r="A176" s="1"/>
      <c r="D176" s="2"/>
      <c r="E176" s="2"/>
      <c r="F176" s="2"/>
      <c r="G176" s="2"/>
      <c r="H176" s="2"/>
      <c r="BR176" s="3"/>
      <c r="BS176" s="3"/>
    </row>
    <row r="177" ht="12.0" customHeight="1">
      <c r="A177" s="1"/>
      <c r="D177" s="2"/>
      <c r="E177" s="2"/>
      <c r="F177" s="2"/>
      <c r="G177" s="2"/>
      <c r="H177" s="2"/>
      <c r="BR177" s="3"/>
      <c r="BS177" s="3"/>
    </row>
    <row r="178" ht="12.0" customHeight="1">
      <c r="A178" s="1"/>
      <c r="D178" s="2"/>
      <c r="E178" s="2"/>
      <c r="F178" s="2"/>
      <c r="G178" s="2"/>
      <c r="H178" s="2"/>
      <c r="BR178" s="3"/>
      <c r="BS178" s="3"/>
    </row>
    <row r="179" ht="12.0" customHeight="1">
      <c r="A179" s="1"/>
      <c r="D179" s="2"/>
      <c r="E179" s="2"/>
      <c r="F179" s="2"/>
      <c r="G179" s="2"/>
      <c r="H179" s="2"/>
      <c r="BR179" s="3"/>
      <c r="BS179" s="3"/>
    </row>
    <row r="180" ht="12.0" customHeight="1">
      <c r="A180" s="1"/>
      <c r="D180" s="2"/>
      <c r="E180" s="2"/>
      <c r="F180" s="2"/>
      <c r="G180" s="2"/>
      <c r="H180" s="2"/>
      <c r="BR180" s="3"/>
      <c r="BS180" s="3"/>
    </row>
    <row r="181" ht="12.0" customHeight="1">
      <c r="A181" s="1"/>
      <c r="D181" s="2"/>
      <c r="E181" s="2"/>
      <c r="F181" s="2"/>
      <c r="G181" s="2"/>
      <c r="H181" s="2"/>
      <c r="BR181" s="3"/>
      <c r="BS181" s="3"/>
    </row>
    <row r="182" ht="12.0" customHeight="1">
      <c r="A182" s="1"/>
      <c r="D182" s="2"/>
      <c r="E182" s="2"/>
      <c r="F182" s="2"/>
      <c r="G182" s="2"/>
      <c r="H182" s="2"/>
      <c r="BR182" s="3"/>
      <c r="BS182" s="3"/>
    </row>
    <row r="183" ht="12.0" customHeight="1">
      <c r="A183" s="1"/>
      <c r="D183" s="2"/>
      <c r="E183" s="2"/>
      <c r="F183" s="2"/>
      <c r="G183" s="2"/>
      <c r="H183" s="2"/>
      <c r="BR183" s="3"/>
      <c r="BS183" s="3"/>
    </row>
    <row r="184" ht="12.0" customHeight="1">
      <c r="A184" s="1"/>
      <c r="D184" s="2"/>
      <c r="E184" s="2"/>
      <c r="F184" s="2"/>
      <c r="G184" s="2"/>
      <c r="H184" s="2"/>
      <c r="BR184" s="3"/>
      <c r="BS184" s="3"/>
    </row>
    <row r="185" ht="12.0" customHeight="1">
      <c r="A185" s="1"/>
      <c r="D185" s="2"/>
      <c r="E185" s="2"/>
      <c r="F185" s="2"/>
      <c r="G185" s="2"/>
      <c r="H185" s="2"/>
      <c r="BR185" s="3"/>
      <c r="BS185" s="3"/>
    </row>
    <row r="186" ht="12.0" customHeight="1">
      <c r="A186" s="1"/>
      <c r="D186" s="2"/>
      <c r="E186" s="2"/>
      <c r="F186" s="2"/>
      <c r="G186" s="2"/>
      <c r="H186" s="2"/>
      <c r="BR186" s="3"/>
      <c r="BS186" s="3"/>
    </row>
    <row r="187" ht="12.0" customHeight="1">
      <c r="A187" s="1"/>
      <c r="D187" s="2"/>
      <c r="E187" s="2"/>
      <c r="F187" s="2"/>
      <c r="G187" s="2"/>
      <c r="H187" s="2"/>
      <c r="BR187" s="3"/>
      <c r="BS187" s="3"/>
    </row>
    <row r="188" ht="12.0" customHeight="1">
      <c r="A188" s="1"/>
      <c r="D188" s="2"/>
      <c r="E188" s="2"/>
      <c r="F188" s="2"/>
      <c r="G188" s="2"/>
      <c r="H188" s="2"/>
      <c r="BR188" s="3"/>
      <c r="BS188" s="3"/>
    </row>
    <row r="189" ht="12.0" customHeight="1">
      <c r="A189" s="1"/>
      <c r="D189" s="2"/>
      <c r="E189" s="2"/>
      <c r="F189" s="2"/>
      <c r="G189" s="2"/>
      <c r="H189" s="2"/>
      <c r="BR189" s="3"/>
      <c r="BS189" s="3"/>
    </row>
    <row r="190" ht="12.0" customHeight="1">
      <c r="A190" s="1"/>
      <c r="D190" s="2"/>
      <c r="E190" s="2"/>
      <c r="F190" s="2"/>
      <c r="G190" s="2"/>
      <c r="H190" s="2"/>
      <c r="BR190" s="3"/>
      <c r="BS190" s="3"/>
    </row>
    <row r="191" ht="12.0" customHeight="1">
      <c r="A191" s="1"/>
      <c r="D191" s="2"/>
      <c r="E191" s="2"/>
      <c r="F191" s="2"/>
      <c r="G191" s="2"/>
      <c r="H191" s="2"/>
      <c r="BR191" s="3"/>
      <c r="BS191" s="3"/>
    </row>
    <row r="192" ht="12.0" customHeight="1">
      <c r="A192" s="1"/>
      <c r="D192" s="2"/>
      <c r="E192" s="2"/>
      <c r="F192" s="2"/>
      <c r="G192" s="2"/>
      <c r="H192" s="2"/>
      <c r="BR192" s="3"/>
      <c r="BS192" s="3"/>
    </row>
    <row r="193" ht="12.0" customHeight="1">
      <c r="A193" s="1"/>
      <c r="D193" s="2"/>
      <c r="E193" s="2"/>
      <c r="F193" s="2"/>
      <c r="G193" s="2"/>
      <c r="H193" s="2"/>
      <c r="BR193" s="3"/>
      <c r="BS193" s="3"/>
    </row>
    <row r="194" ht="12.0" customHeight="1">
      <c r="A194" s="1"/>
      <c r="D194" s="2"/>
      <c r="E194" s="2"/>
      <c r="F194" s="2"/>
      <c r="G194" s="2"/>
      <c r="H194" s="2"/>
      <c r="BR194" s="3"/>
      <c r="BS194" s="3"/>
    </row>
    <row r="195" ht="12.0" customHeight="1">
      <c r="A195" s="1"/>
      <c r="D195" s="2"/>
      <c r="E195" s="2"/>
      <c r="F195" s="2"/>
      <c r="G195" s="2"/>
      <c r="H195" s="2"/>
      <c r="BR195" s="3"/>
      <c r="BS195" s="3"/>
    </row>
    <row r="196" ht="12.0" customHeight="1">
      <c r="A196" s="1"/>
      <c r="D196" s="2"/>
      <c r="E196" s="2"/>
      <c r="F196" s="2"/>
      <c r="G196" s="2"/>
      <c r="H196" s="2"/>
      <c r="BR196" s="3"/>
      <c r="BS196" s="3"/>
    </row>
    <row r="197" ht="12.0" customHeight="1">
      <c r="A197" s="1"/>
      <c r="D197" s="2"/>
      <c r="E197" s="2"/>
      <c r="F197" s="2"/>
      <c r="G197" s="2"/>
      <c r="H197" s="2"/>
      <c r="BR197" s="3"/>
      <c r="BS197" s="3"/>
    </row>
    <row r="198" ht="12.0" customHeight="1">
      <c r="A198" s="1"/>
      <c r="D198" s="2"/>
      <c r="E198" s="2"/>
      <c r="F198" s="2"/>
      <c r="G198" s="2"/>
      <c r="H198" s="2"/>
      <c r="BR198" s="3"/>
      <c r="BS198" s="3"/>
    </row>
    <row r="199" ht="12.0" customHeight="1">
      <c r="A199" s="1"/>
      <c r="D199" s="2"/>
      <c r="E199" s="2"/>
      <c r="F199" s="2"/>
      <c r="G199" s="2"/>
      <c r="H199" s="2"/>
      <c r="BR199" s="3"/>
      <c r="BS199" s="3"/>
    </row>
    <row r="200" ht="12.0" customHeight="1">
      <c r="A200" s="1"/>
      <c r="D200" s="2"/>
      <c r="E200" s="2"/>
      <c r="F200" s="2"/>
      <c r="G200" s="2"/>
      <c r="H200" s="2"/>
      <c r="BR200" s="3"/>
      <c r="BS200" s="3"/>
    </row>
    <row r="201" ht="12.0" customHeight="1">
      <c r="A201" s="1"/>
      <c r="D201" s="2"/>
      <c r="E201" s="2"/>
      <c r="F201" s="2"/>
      <c r="G201" s="2"/>
      <c r="H201" s="2"/>
      <c r="BR201" s="3"/>
      <c r="BS201" s="3"/>
    </row>
    <row r="202" ht="12.0" customHeight="1">
      <c r="A202" s="1"/>
      <c r="D202" s="2"/>
      <c r="E202" s="2"/>
      <c r="F202" s="2"/>
      <c r="G202" s="2"/>
      <c r="H202" s="2"/>
      <c r="BR202" s="3"/>
      <c r="BS202" s="3"/>
    </row>
    <row r="203" ht="12.0" customHeight="1">
      <c r="A203" s="1"/>
      <c r="D203" s="2"/>
      <c r="E203" s="2"/>
      <c r="F203" s="2"/>
      <c r="G203" s="2"/>
      <c r="H203" s="2"/>
      <c r="BR203" s="3"/>
      <c r="BS203" s="3"/>
    </row>
    <row r="204" ht="12.0" customHeight="1">
      <c r="A204" s="1"/>
      <c r="D204" s="2"/>
      <c r="E204" s="2"/>
      <c r="F204" s="2"/>
      <c r="G204" s="2"/>
      <c r="H204" s="2"/>
      <c r="BR204" s="3"/>
      <c r="BS204" s="3"/>
    </row>
    <row r="205" ht="12.0" customHeight="1">
      <c r="A205" s="1"/>
      <c r="D205" s="2"/>
      <c r="E205" s="2"/>
      <c r="F205" s="2"/>
      <c r="G205" s="2"/>
      <c r="H205" s="2"/>
      <c r="BR205" s="3"/>
      <c r="BS205" s="3"/>
    </row>
    <row r="206" ht="12.0" customHeight="1">
      <c r="A206" s="1"/>
      <c r="D206" s="2"/>
      <c r="E206" s="2"/>
      <c r="F206" s="2"/>
      <c r="G206" s="2"/>
      <c r="H206" s="2"/>
      <c r="BR206" s="3"/>
      <c r="BS206" s="3"/>
    </row>
    <row r="207" ht="12.0" customHeight="1">
      <c r="A207" s="1"/>
      <c r="D207" s="2"/>
      <c r="E207" s="2"/>
      <c r="F207" s="2"/>
      <c r="G207" s="2"/>
      <c r="H207" s="2"/>
      <c r="BR207" s="3"/>
      <c r="BS207" s="3"/>
    </row>
    <row r="208" ht="12.0" customHeight="1">
      <c r="A208" s="1"/>
      <c r="D208" s="2"/>
      <c r="E208" s="2"/>
      <c r="F208" s="2"/>
      <c r="G208" s="2"/>
      <c r="H208" s="2"/>
      <c r="BR208" s="3"/>
      <c r="BS208" s="3"/>
    </row>
    <row r="209" ht="12.0" customHeight="1">
      <c r="A209" s="1"/>
      <c r="D209" s="2"/>
      <c r="E209" s="2"/>
      <c r="F209" s="2"/>
      <c r="G209" s="2"/>
      <c r="H209" s="2"/>
      <c r="BR209" s="3"/>
      <c r="BS209" s="3"/>
    </row>
    <row r="210" ht="12.0" customHeight="1">
      <c r="A210" s="1"/>
      <c r="D210" s="2"/>
      <c r="E210" s="2"/>
      <c r="F210" s="2"/>
      <c r="G210" s="2"/>
      <c r="H210" s="2"/>
      <c r="BR210" s="3"/>
      <c r="BS210" s="3"/>
    </row>
    <row r="211" ht="12.0" customHeight="1">
      <c r="A211" s="1"/>
      <c r="D211" s="2"/>
      <c r="E211" s="2"/>
      <c r="F211" s="2"/>
      <c r="G211" s="2"/>
      <c r="H211" s="2"/>
      <c r="BR211" s="3"/>
      <c r="BS211" s="3"/>
    </row>
    <row r="212" ht="12.0" customHeight="1">
      <c r="A212" s="1"/>
      <c r="D212" s="2"/>
      <c r="E212" s="2"/>
      <c r="F212" s="2"/>
      <c r="G212" s="2"/>
      <c r="H212" s="2"/>
      <c r="BR212" s="3"/>
      <c r="BS212" s="3"/>
    </row>
    <row r="213" ht="12.0" customHeight="1">
      <c r="A213" s="1"/>
      <c r="D213" s="2"/>
      <c r="E213" s="2"/>
      <c r="F213" s="2"/>
      <c r="G213" s="2"/>
      <c r="H213" s="2"/>
      <c r="BR213" s="3"/>
      <c r="BS213" s="3"/>
    </row>
    <row r="214" ht="12.0" customHeight="1">
      <c r="A214" s="1"/>
      <c r="D214" s="2"/>
      <c r="E214" s="2"/>
      <c r="F214" s="2"/>
      <c r="G214" s="2"/>
      <c r="H214" s="2"/>
      <c r="BR214" s="3"/>
      <c r="BS214" s="3"/>
    </row>
    <row r="215" ht="12.0" customHeight="1">
      <c r="A215" s="1"/>
      <c r="D215" s="2"/>
      <c r="E215" s="2"/>
      <c r="F215" s="2"/>
      <c r="G215" s="2"/>
      <c r="H215" s="2"/>
      <c r="BR215" s="3"/>
      <c r="BS215" s="3"/>
    </row>
    <row r="216" ht="12.0" customHeight="1">
      <c r="A216" s="1"/>
      <c r="D216" s="2"/>
      <c r="E216" s="2"/>
      <c r="F216" s="2"/>
      <c r="G216" s="2"/>
      <c r="H216" s="2"/>
      <c r="BR216" s="3"/>
      <c r="BS216" s="3"/>
    </row>
    <row r="217" ht="12.0" customHeight="1">
      <c r="A217" s="1"/>
      <c r="D217" s="2"/>
      <c r="E217" s="2"/>
      <c r="F217" s="2"/>
      <c r="G217" s="2"/>
      <c r="H217" s="2"/>
      <c r="BR217" s="3"/>
      <c r="BS217" s="3"/>
    </row>
    <row r="218" ht="12.0" customHeight="1">
      <c r="A218" s="1"/>
      <c r="D218" s="2"/>
      <c r="E218" s="2"/>
      <c r="F218" s="2"/>
      <c r="G218" s="2"/>
      <c r="H218" s="2"/>
      <c r="BR218" s="3"/>
      <c r="BS218" s="3"/>
    </row>
    <row r="219" ht="12.0" customHeight="1">
      <c r="A219" s="1"/>
      <c r="D219" s="2"/>
      <c r="E219" s="2"/>
      <c r="F219" s="2"/>
      <c r="G219" s="2"/>
      <c r="H219" s="2"/>
      <c r="BR219" s="3"/>
      <c r="BS219" s="3"/>
    </row>
    <row r="220" ht="12.0" customHeight="1">
      <c r="A220" s="1"/>
      <c r="D220" s="2"/>
      <c r="E220" s="2"/>
      <c r="F220" s="2"/>
      <c r="G220" s="2"/>
      <c r="H220" s="2"/>
      <c r="BR220" s="3"/>
      <c r="BS220" s="3"/>
    </row>
    <row r="221" ht="12.0" customHeight="1">
      <c r="A221" s="1"/>
      <c r="D221" s="2"/>
      <c r="E221" s="2"/>
      <c r="F221" s="2"/>
      <c r="G221" s="2"/>
      <c r="H221" s="2"/>
      <c r="BR221" s="3"/>
      <c r="BS221" s="3"/>
    </row>
    <row r="222" ht="12.0" customHeight="1">
      <c r="A222" s="1"/>
      <c r="D222" s="2"/>
      <c r="E222" s="2"/>
      <c r="F222" s="2"/>
      <c r="G222" s="2"/>
      <c r="H222" s="2"/>
      <c r="BR222" s="3"/>
      <c r="BS222" s="3"/>
    </row>
    <row r="223" ht="12.0" customHeight="1">
      <c r="A223" s="1"/>
      <c r="D223" s="2"/>
      <c r="E223" s="2"/>
      <c r="F223" s="2"/>
      <c r="G223" s="2"/>
      <c r="H223" s="2"/>
      <c r="BR223" s="3"/>
      <c r="BS223" s="3"/>
    </row>
    <row r="224" ht="12.0" customHeight="1">
      <c r="A224" s="1"/>
      <c r="D224" s="2"/>
      <c r="E224" s="2"/>
      <c r="F224" s="2"/>
      <c r="G224" s="2"/>
      <c r="H224" s="2"/>
      <c r="BR224" s="3"/>
      <c r="BS224" s="3"/>
    </row>
    <row r="225" ht="12.0" customHeight="1">
      <c r="A225" s="1"/>
      <c r="D225" s="2"/>
      <c r="E225" s="2"/>
      <c r="F225" s="2"/>
      <c r="G225" s="2"/>
      <c r="H225" s="2"/>
      <c r="BR225" s="3"/>
      <c r="BS225" s="3"/>
    </row>
    <row r="226" ht="12.0" customHeight="1">
      <c r="A226" s="1"/>
      <c r="D226" s="2"/>
      <c r="E226" s="2"/>
      <c r="F226" s="2"/>
      <c r="G226" s="2"/>
      <c r="H226" s="2"/>
      <c r="BR226" s="3"/>
      <c r="BS226" s="3"/>
    </row>
    <row r="227" ht="12.0" customHeight="1">
      <c r="A227" s="1"/>
      <c r="D227" s="2"/>
      <c r="E227" s="2"/>
      <c r="F227" s="2"/>
      <c r="G227" s="2"/>
      <c r="H227" s="2"/>
      <c r="BR227" s="3"/>
      <c r="BS227" s="3"/>
    </row>
    <row r="228" ht="12.0" customHeight="1">
      <c r="A228" s="1"/>
      <c r="D228" s="2"/>
      <c r="E228" s="2"/>
      <c r="F228" s="2"/>
      <c r="G228" s="2"/>
      <c r="H228" s="2"/>
      <c r="BR228" s="3"/>
      <c r="BS228" s="3"/>
    </row>
    <row r="229" ht="12.0" customHeight="1">
      <c r="A229" s="1"/>
      <c r="D229" s="2"/>
      <c r="E229" s="2"/>
      <c r="F229" s="2"/>
      <c r="G229" s="2"/>
      <c r="H229" s="2"/>
      <c r="BR229" s="3"/>
      <c r="BS229" s="3"/>
    </row>
    <row r="230" ht="12.0" customHeight="1">
      <c r="A230" s="1"/>
      <c r="D230" s="2"/>
      <c r="E230" s="2"/>
      <c r="F230" s="2"/>
      <c r="G230" s="2"/>
      <c r="H230" s="2"/>
      <c r="BR230" s="3"/>
      <c r="BS230" s="3"/>
    </row>
    <row r="231" ht="12.0" customHeight="1">
      <c r="A231" s="1"/>
      <c r="D231" s="2"/>
      <c r="E231" s="2"/>
      <c r="F231" s="2"/>
      <c r="G231" s="2"/>
      <c r="H231" s="2"/>
      <c r="BR231" s="3"/>
      <c r="BS231" s="3"/>
    </row>
    <row r="232" ht="12.0" customHeight="1">
      <c r="A232" s="1"/>
      <c r="D232" s="2"/>
      <c r="E232" s="2"/>
      <c r="F232" s="2"/>
      <c r="G232" s="2"/>
      <c r="H232" s="2"/>
      <c r="BR232" s="3"/>
      <c r="BS232" s="3"/>
    </row>
    <row r="233" ht="12.0" customHeight="1">
      <c r="A233" s="1"/>
      <c r="D233" s="2"/>
      <c r="E233" s="2"/>
      <c r="F233" s="2"/>
      <c r="G233" s="2"/>
      <c r="H233" s="2"/>
      <c r="BR233" s="3"/>
      <c r="BS233" s="3"/>
    </row>
    <row r="234" ht="12.0" customHeight="1">
      <c r="A234" s="1"/>
      <c r="D234" s="2"/>
      <c r="E234" s="2"/>
      <c r="F234" s="2"/>
      <c r="G234" s="2"/>
      <c r="H234" s="2"/>
      <c r="BR234" s="3"/>
      <c r="BS234" s="3"/>
    </row>
    <row r="235" ht="12.0" customHeight="1">
      <c r="A235" s="1"/>
      <c r="D235" s="2"/>
      <c r="E235" s="2"/>
      <c r="F235" s="2"/>
      <c r="G235" s="2"/>
      <c r="H235" s="2"/>
      <c r="BR235" s="3"/>
      <c r="BS235" s="3"/>
    </row>
    <row r="236" ht="12.0" customHeight="1">
      <c r="A236" s="1"/>
      <c r="D236" s="2"/>
      <c r="E236" s="2"/>
      <c r="F236" s="2"/>
      <c r="G236" s="2"/>
      <c r="H236" s="2"/>
      <c r="BR236" s="3"/>
      <c r="BS236" s="3"/>
    </row>
    <row r="237" ht="12.0" customHeight="1">
      <c r="A237" s="1"/>
      <c r="D237" s="2"/>
      <c r="E237" s="2"/>
      <c r="F237" s="2"/>
      <c r="G237" s="2"/>
      <c r="H237" s="2"/>
      <c r="BR237" s="3"/>
      <c r="BS237" s="3"/>
    </row>
    <row r="238" ht="12.0" customHeight="1">
      <c r="A238" s="1"/>
      <c r="D238" s="2"/>
      <c r="E238" s="2"/>
      <c r="F238" s="2"/>
      <c r="G238" s="2"/>
      <c r="H238" s="2"/>
      <c r="BR238" s="3"/>
      <c r="BS238" s="3"/>
    </row>
    <row r="239" ht="12.0" customHeight="1">
      <c r="A239" s="1"/>
      <c r="D239" s="2"/>
      <c r="E239" s="2"/>
      <c r="F239" s="2"/>
      <c r="G239" s="2"/>
      <c r="H239" s="2"/>
      <c r="BR239" s="3"/>
      <c r="BS239" s="3"/>
    </row>
    <row r="240" ht="12.0" customHeight="1">
      <c r="A240" s="1"/>
      <c r="D240" s="2"/>
      <c r="E240" s="2"/>
      <c r="F240" s="2"/>
      <c r="G240" s="2"/>
      <c r="H240" s="2"/>
      <c r="BR240" s="3"/>
      <c r="BS240" s="3"/>
    </row>
    <row r="241" ht="12.0" customHeight="1">
      <c r="A241" s="1"/>
      <c r="D241" s="2"/>
      <c r="E241" s="2"/>
      <c r="F241" s="2"/>
      <c r="G241" s="2"/>
      <c r="H241" s="2"/>
      <c r="BR241" s="3"/>
      <c r="BS241" s="3"/>
    </row>
    <row r="242" ht="12.0" customHeight="1">
      <c r="A242" s="1"/>
      <c r="D242" s="2"/>
      <c r="E242" s="2"/>
      <c r="F242" s="2"/>
      <c r="G242" s="2"/>
      <c r="H242" s="2"/>
      <c r="BR242" s="3"/>
      <c r="BS242" s="3"/>
    </row>
    <row r="243" ht="12.0" customHeight="1">
      <c r="A243" s="1"/>
      <c r="D243" s="2"/>
      <c r="E243" s="2"/>
      <c r="F243" s="2"/>
      <c r="G243" s="2"/>
      <c r="H243" s="2"/>
      <c r="BR243" s="3"/>
      <c r="BS243" s="3"/>
    </row>
    <row r="244" ht="12.0" customHeight="1">
      <c r="A244" s="1"/>
      <c r="D244" s="2"/>
      <c r="E244" s="2"/>
      <c r="F244" s="2"/>
      <c r="G244" s="2"/>
      <c r="H244" s="2"/>
      <c r="BR244" s="3"/>
      <c r="BS244" s="3"/>
    </row>
    <row r="245" ht="12.0" customHeight="1">
      <c r="A245" s="1"/>
      <c r="D245" s="2"/>
      <c r="E245" s="2"/>
      <c r="F245" s="2"/>
      <c r="G245" s="2"/>
      <c r="H245" s="2"/>
      <c r="BR245" s="3"/>
      <c r="BS245" s="3"/>
    </row>
    <row r="246" ht="12.0" customHeight="1">
      <c r="A246" s="1"/>
      <c r="D246" s="2"/>
      <c r="E246" s="2"/>
      <c r="F246" s="2"/>
      <c r="G246" s="2"/>
      <c r="H246" s="2"/>
      <c r="BR246" s="3"/>
      <c r="BS246" s="3"/>
    </row>
    <row r="247" ht="12.0" customHeight="1">
      <c r="A247" s="1"/>
      <c r="D247" s="2"/>
      <c r="E247" s="2"/>
      <c r="F247" s="2"/>
      <c r="G247" s="2"/>
      <c r="H247" s="2"/>
      <c r="BR247" s="3"/>
      <c r="BS247" s="3"/>
    </row>
    <row r="248" ht="12.0" customHeight="1">
      <c r="A248" s="1"/>
      <c r="D248" s="2"/>
      <c r="E248" s="2"/>
      <c r="F248" s="2"/>
      <c r="G248" s="2"/>
      <c r="H248" s="2"/>
      <c r="BR248" s="3"/>
      <c r="BS248" s="3"/>
    </row>
    <row r="249" ht="12.0" customHeight="1">
      <c r="A249" s="1"/>
      <c r="D249" s="2"/>
      <c r="E249" s="2"/>
      <c r="F249" s="2"/>
      <c r="G249" s="2"/>
      <c r="H249" s="2"/>
      <c r="BR249" s="3"/>
      <c r="BS249" s="3"/>
    </row>
    <row r="250" ht="12.0" customHeight="1">
      <c r="A250" s="1"/>
      <c r="D250" s="2"/>
      <c r="E250" s="2"/>
      <c r="F250" s="2"/>
      <c r="G250" s="2"/>
      <c r="H250" s="2"/>
      <c r="BR250" s="3"/>
      <c r="BS250" s="3"/>
    </row>
    <row r="251" ht="12.0" customHeight="1">
      <c r="A251" s="1"/>
      <c r="D251" s="2"/>
      <c r="E251" s="2"/>
      <c r="F251" s="2"/>
      <c r="G251" s="2"/>
      <c r="H251" s="2"/>
      <c r="BR251" s="3"/>
      <c r="BS251" s="3"/>
    </row>
    <row r="252" ht="12.0" customHeight="1">
      <c r="A252" s="1"/>
      <c r="D252" s="2"/>
      <c r="E252" s="2"/>
      <c r="F252" s="2"/>
      <c r="G252" s="2"/>
      <c r="H252" s="2"/>
      <c r="BR252" s="3"/>
      <c r="BS252" s="3"/>
    </row>
    <row r="253" ht="12.0" customHeight="1">
      <c r="A253" s="1"/>
      <c r="D253" s="2"/>
      <c r="E253" s="2"/>
      <c r="F253" s="2"/>
      <c r="G253" s="2"/>
      <c r="H253" s="2"/>
      <c r="BR253" s="3"/>
      <c r="BS253" s="3"/>
    </row>
    <row r="254" ht="12.0" customHeight="1">
      <c r="A254" s="1"/>
      <c r="D254" s="2"/>
      <c r="E254" s="2"/>
      <c r="F254" s="2"/>
      <c r="G254" s="2"/>
      <c r="H254" s="2"/>
      <c r="BR254" s="3"/>
      <c r="BS254" s="3"/>
    </row>
    <row r="255" ht="12.0" customHeight="1">
      <c r="A255" s="1"/>
      <c r="D255" s="2"/>
      <c r="E255" s="2"/>
      <c r="F255" s="2"/>
      <c r="G255" s="2"/>
      <c r="H255" s="2"/>
      <c r="BR255" s="3"/>
      <c r="BS255" s="3"/>
    </row>
    <row r="256" ht="12.0" customHeight="1">
      <c r="A256" s="1"/>
      <c r="D256" s="2"/>
      <c r="E256" s="2"/>
      <c r="F256" s="2"/>
      <c r="G256" s="2"/>
      <c r="H256" s="2"/>
      <c r="BR256" s="3"/>
      <c r="BS256" s="3"/>
    </row>
    <row r="257" ht="12.0" customHeight="1">
      <c r="A257" s="1"/>
      <c r="D257" s="2"/>
      <c r="E257" s="2"/>
      <c r="F257" s="2"/>
      <c r="G257" s="2"/>
      <c r="H257" s="2"/>
      <c r="BR257" s="3"/>
      <c r="BS257" s="3"/>
    </row>
    <row r="258" ht="12.0" customHeight="1">
      <c r="A258" s="1"/>
      <c r="D258" s="2"/>
      <c r="E258" s="2"/>
      <c r="F258" s="2"/>
      <c r="G258" s="2"/>
      <c r="H258" s="2"/>
      <c r="BR258" s="3"/>
      <c r="BS258" s="3"/>
    </row>
    <row r="259" ht="12.0" customHeight="1">
      <c r="A259" s="1"/>
      <c r="D259" s="2"/>
      <c r="E259" s="2"/>
      <c r="F259" s="2"/>
      <c r="G259" s="2"/>
      <c r="H259" s="2"/>
      <c r="BR259" s="3"/>
      <c r="BS259" s="3"/>
    </row>
    <row r="260" ht="12.0" customHeight="1">
      <c r="A260" s="1"/>
      <c r="D260" s="2"/>
      <c r="E260" s="2"/>
      <c r="F260" s="2"/>
      <c r="G260" s="2"/>
      <c r="H260" s="2"/>
      <c r="BR260" s="3"/>
      <c r="BS260" s="3"/>
    </row>
    <row r="261" ht="12.0" customHeight="1">
      <c r="A261" s="1"/>
      <c r="D261" s="2"/>
      <c r="E261" s="2"/>
      <c r="F261" s="2"/>
      <c r="G261" s="2"/>
      <c r="H261" s="2"/>
      <c r="BR261" s="3"/>
      <c r="BS261" s="3"/>
    </row>
    <row r="262" ht="12.0" customHeight="1">
      <c r="A262" s="1"/>
      <c r="D262" s="2"/>
      <c r="E262" s="2"/>
      <c r="F262" s="2"/>
      <c r="G262" s="2"/>
      <c r="H262" s="2"/>
      <c r="BR262" s="3"/>
      <c r="BS262" s="3"/>
    </row>
    <row r="263" ht="12.0" customHeight="1">
      <c r="A263" s="1"/>
      <c r="D263" s="2"/>
      <c r="E263" s="2"/>
      <c r="F263" s="2"/>
      <c r="G263" s="2"/>
      <c r="H263" s="2"/>
      <c r="BR263" s="3"/>
      <c r="BS263" s="3"/>
    </row>
    <row r="264" ht="12.0" customHeight="1">
      <c r="A264" s="1"/>
      <c r="D264" s="2"/>
      <c r="E264" s="2"/>
      <c r="F264" s="2"/>
      <c r="G264" s="2"/>
      <c r="H264" s="2"/>
      <c r="BR264" s="3"/>
      <c r="BS264" s="3"/>
    </row>
    <row r="265" ht="12.0" customHeight="1">
      <c r="A265" s="1"/>
      <c r="D265" s="2"/>
      <c r="E265" s="2"/>
      <c r="F265" s="2"/>
      <c r="G265" s="2"/>
      <c r="H265" s="2"/>
      <c r="BR265" s="3"/>
      <c r="BS265" s="3"/>
    </row>
    <row r="266" ht="12.0" customHeight="1">
      <c r="A266" s="1"/>
      <c r="D266" s="2"/>
      <c r="E266" s="2"/>
      <c r="F266" s="2"/>
      <c r="G266" s="2"/>
      <c r="H266" s="2"/>
      <c r="BR266" s="3"/>
      <c r="BS266" s="3"/>
    </row>
    <row r="267" ht="12.0" customHeight="1">
      <c r="A267" s="1"/>
      <c r="D267" s="2"/>
      <c r="E267" s="2"/>
      <c r="F267" s="2"/>
      <c r="G267" s="2"/>
      <c r="H267" s="2"/>
      <c r="BR267" s="3"/>
      <c r="BS267" s="3"/>
    </row>
    <row r="268" ht="12.0" customHeight="1">
      <c r="A268" s="1"/>
      <c r="D268" s="2"/>
      <c r="E268" s="2"/>
      <c r="F268" s="2"/>
      <c r="G268" s="2"/>
      <c r="H268" s="2"/>
      <c r="BR268" s="3"/>
      <c r="BS268" s="3"/>
    </row>
    <row r="269" ht="12.0" customHeight="1">
      <c r="A269" s="1"/>
      <c r="D269" s="2"/>
      <c r="E269" s="2"/>
      <c r="F269" s="2"/>
      <c r="G269" s="2"/>
      <c r="H269" s="2"/>
      <c r="BR269" s="3"/>
      <c r="BS269" s="3"/>
    </row>
    <row r="270" ht="12.0" customHeight="1">
      <c r="A270" s="1"/>
      <c r="D270" s="2"/>
      <c r="E270" s="2"/>
      <c r="F270" s="2"/>
      <c r="G270" s="2"/>
      <c r="H270" s="2"/>
      <c r="BR270" s="3"/>
      <c r="BS270" s="3"/>
    </row>
    <row r="271" ht="12.0" customHeight="1">
      <c r="A271" s="1"/>
      <c r="D271" s="2"/>
      <c r="E271" s="2"/>
      <c r="F271" s="2"/>
      <c r="G271" s="2"/>
      <c r="H271" s="2"/>
      <c r="BR271" s="3"/>
      <c r="BS271" s="3"/>
    </row>
    <row r="272" ht="12.0" customHeight="1">
      <c r="A272" s="1"/>
      <c r="D272" s="2"/>
      <c r="E272" s="2"/>
      <c r="F272" s="2"/>
      <c r="G272" s="2"/>
      <c r="H272" s="2"/>
      <c r="BR272" s="3"/>
      <c r="BS272" s="3"/>
    </row>
    <row r="273" ht="12.0" customHeight="1">
      <c r="A273" s="1"/>
      <c r="D273" s="2"/>
      <c r="E273" s="2"/>
      <c r="F273" s="2"/>
      <c r="G273" s="2"/>
      <c r="H273" s="2"/>
      <c r="BR273" s="3"/>
      <c r="BS273" s="3"/>
    </row>
    <row r="274" ht="12.0" customHeight="1">
      <c r="A274" s="1"/>
      <c r="D274" s="2"/>
      <c r="E274" s="2"/>
      <c r="F274" s="2"/>
      <c r="G274" s="2"/>
      <c r="H274" s="2"/>
      <c r="BR274" s="3"/>
      <c r="BS274" s="3"/>
    </row>
    <row r="275" ht="12.0" customHeight="1">
      <c r="A275" s="1"/>
      <c r="D275" s="2"/>
      <c r="E275" s="2"/>
      <c r="F275" s="2"/>
      <c r="G275" s="2"/>
      <c r="H275" s="2"/>
      <c r="BR275" s="3"/>
      <c r="BS275" s="3"/>
    </row>
    <row r="276" ht="12.0" customHeight="1">
      <c r="A276" s="1"/>
      <c r="D276" s="2"/>
      <c r="E276" s="2"/>
      <c r="F276" s="2"/>
      <c r="G276" s="2"/>
      <c r="H276" s="2"/>
      <c r="BR276" s="3"/>
      <c r="BS276" s="3"/>
    </row>
    <row r="277" ht="12.0" customHeight="1">
      <c r="A277" s="1"/>
      <c r="D277" s="2"/>
      <c r="E277" s="2"/>
      <c r="F277" s="2"/>
      <c r="G277" s="2"/>
      <c r="H277" s="2"/>
      <c r="BR277" s="3"/>
      <c r="BS277" s="3"/>
    </row>
    <row r="278" ht="12.0" customHeight="1">
      <c r="A278" s="1"/>
      <c r="D278" s="2"/>
      <c r="E278" s="2"/>
      <c r="F278" s="2"/>
      <c r="G278" s="2"/>
      <c r="H278" s="2"/>
      <c r="BR278" s="3"/>
      <c r="BS278" s="3"/>
    </row>
    <row r="279" ht="12.0" customHeight="1">
      <c r="A279" s="1"/>
      <c r="D279" s="2"/>
      <c r="E279" s="2"/>
      <c r="F279" s="2"/>
      <c r="G279" s="2"/>
      <c r="H279" s="2"/>
      <c r="BR279" s="3"/>
      <c r="BS279" s="3"/>
    </row>
    <row r="280" ht="12.0" customHeight="1">
      <c r="A280" s="1"/>
      <c r="D280" s="2"/>
      <c r="E280" s="2"/>
      <c r="F280" s="2"/>
      <c r="G280" s="2"/>
      <c r="H280" s="2"/>
      <c r="BR280" s="3"/>
      <c r="BS280" s="3"/>
    </row>
    <row r="281" ht="12.0" customHeight="1">
      <c r="A281" s="1"/>
      <c r="D281" s="2"/>
      <c r="E281" s="2"/>
      <c r="F281" s="2"/>
      <c r="G281" s="2"/>
      <c r="H281" s="2"/>
      <c r="BR281" s="3"/>
      <c r="BS281" s="3"/>
    </row>
    <row r="282" ht="12.0" customHeight="1">
      <c r="A282" s="1"/>
      <c r="D282" s="2"/>
      <c r="E282" s="2"/>
      <c r="F282" s="2"/>
      <c r="G282" s="2"/>
      <c r="H282" s="2"/>
      <c r="BR282" s="3"/>
      <c r="BS282" s="3"/>
    </row>
    <row r="283" ht="12.0" customHeight="1">
      <c r="A283" s="1"/>
      <c r="D283" s="2"/>
      <c r="E283" s="2"/>
      <c r="F283" s="2"/>
      <c r="G283" s="2"/>
      <c r="H283" s="2"/>
      <c r="BR283" s="3"/>
      <c r="BS283" s="3"/>
    </row>
    <row r="284" ht="12.0" customHeight="1">
      <c r="A284" s="1"/>
      <c r="D284" s="2"/>
      <c r="E284" s="2"/>
      <c r="F284" s="2"/>
      <c r="G284" s="2"/>
      <c r="H284" s="2"/>
      <c r="BR284" s="3"/>
      <c r="BS284" s="3"/>
    </row>
    <row r="285" ht="12.0" customHeight="1">
      <c r="A285" s="1"/>
      <c r="D285" s="2"/>
      <c r="E285" s="2"/>
      <c r="F285" s="2"/>
      <c r="G285" s="2"/>
      <c r="H285" s="2"/>
      <c r="BR285" s="3"/>
      <c r="BS285" s="3"/>
    </row>
    <row r="286" ht="12.0" customHeight="1">
      <c r="A286" s="1"/>
      <c r="D286" s="2"/>
      <c r="E286" s="2"/>
      <c r="F286" s="2"/>
      <c r="G286" s="2"/>
      <c r="H286" s="2"/>
      <c r="BR286" s="3"/>
      <c r="BS286" s="3"/>
    </row>
    <row r="287" ht="12.0" customHeight="1">
      <c r="A287" s="1"/>
      <c r="D287" s="2"/>
      <c r="E287" s="2"/>
      <c r="F287" s="2"/>
      <c r="G287" s="2"/>
      <c r="H287" s="2"/>
      <c r="BR287" s="3"/>
      <c r="BS287" s="3"/>
    </row>
    <row r="288" ht="12.0" customHeight="1">
      <c r="A288" s="1"/>
      <c r="D288" s="2"/>
      <c r="E288" s="2"/>
      <c r="F288" s="2"/>
      <c r="G288" s="2"/>
      <c r="H288" s="2"/>
      <c r="BR288" s="3"/>
      <c r="BS288" s="3"/>
    </row>
    <row r="289" ht="12.0" customHeight="1">
      <c r="A289" s="1"/>
      <c r="D289" s="2"/>
      <c r="E289" s="2"/>
      <c r="F289" s="2"/>
      <c r="G289" s="2"/>
      <c r="H289" s="2"/>
      <c r="BR289" s="3"/>
      <c r="BS289" s="3"/>
    </row>
    <row r="290" ht="12.0" customHeight="1">
      <c r="A290" s="1"/>
      <c r="D290" s="2"/>
      <c r="E290" s="2"/>
      <c r="F290" s="2"/>
      <c r="G290" s="2"/>
      <c r="H290" s="2"/>
      <c r="BR290" s="3"/>
      <c r="BS290" s="3"/>
    </row>
    <row r="291" ht="12.0" customHeight="1">
      <c r="A291" s="1"/>
      <c r="D291" s="2"/>
      <c r="E291" s="2"/>
      <c r="F291" s="2"/>
      <c r="G291" s="2"/>
      <c r="H291" s="2"/>
      <c r="BR291" s="3"/>
      <c r="BS291" s="3"/>
    </row>
    <row r="292" ht="12.0" customHeight="1">
      <c r="A292" s="1"/>
      <c r="D292" s="2"/>
      <c r="E292" s="2"/>
      <c r="F292" s="2"/>
      <c r="G292" s="2"/>
      <c r="H292" s="2"/>
      <c r="BR292" s="3"/>
      <c r="BS292" s="3"/>
    </row>
    <row r="293" ht="12.0" customHeight="1">
      <c r="A293" s="1"/>
      <c r="D293" s="2"/>
      <c r="E293" s="2"/>
      <c r="F293" s="2"/>
      <c r="G293" s="2"/>
      <c r="H293" s="2"/>
      <c r="BR293" s="3"/>
      <c r="BS293" s="3"/>
    </row>
    <row r="294" ht="12.0" customHeight="1">
      <c r="A294" s="1"/>
      <c r="D294" s="2"/>
      <c r="E294" s="2"/>
      <c r="F294" s="2"/>
      <c r="G294" s="2"/>
      <c r="H294" s="2"/>
      <c r="BR294" s="3"/>
      <c r="BS294" s="3"/>
    </row>
    <row r="295" ht="12.0" customHeight="1">
      <c r="A295" s="1"/>
      <c r="D295" s="2"/>
      <c r="E295" s="2"/>
      <c r="F295" s="2"/>
      <c r="G295" s="2"/>
      <c r="H295" s="2"/>
      <c r="BR295" s="3"/>
      <c r="BS295" s="3"/>
    </row>
    <row r="296" ht="12.0" customHeight="1">
      <c r="A296" s="1"/>
      <c r="D296" s="2"/>
      <c r="E296" s="2"/>
      <c r="F296" s="2"/>
      <c r="G296" s="2"/>
      <c r="H296" s="2"/>
      <c r="BR296" s="3"/>
      <c r="BS296" s="3"/>
    </row>
    <row r="297" ht="12.0" customHeight="1">
      <c r="A297" s="1"/>
      <c r="D297" s="2"/>
      <c r="E297" s="2"/>
      <c r="F297" s="2"/>
      <c r="G297" s="2"/>
      <c r="H297" s="2"/>
      <c r="BR297" s="3"/>
      <c r="BS297" s="3"/>
    </row>
    <row r="298" ht="12.0" customHeight="1">
      <c r="A298" s="1"/>
      <c r="D298" s="2"/>
      <c r="E298" s="2"/>
      <c r="F298" s="2"/>
      <c r="G298" s="2"/>
      <c r="H298" s="2"/>
      <c r="BR298" s="3"/>
      <c r="BS298" s="3"/>
    </row>
    <row r="299" ht="12.0" customHeight="1">
      <c r="A299" s="1"/>
      <c r="D299" s="2"/>
      <c r="E299" s="2"/>
      <c r="F299" s="2"/>
      <c r="G299" s="2"/>
      <c r="H299" s="2"/>
      <c r="BR299" s="3"/>
      <c r="BS299" s="3"/>
    </row>
    <row r="300" ht="12.0" customHeight="1">
      <c r="A300" s="1"/>
      <c r="D300" s="2"/>
      <c r="E300" s="2"/>
      <c r="F300" s="2"/>
      <c r="G300" s="2"/>
      <c r="H300" s="2"/>
      <c r="BR300" s="3"/>
      <c r="BS300" s="3"/>
    </row>
    <row r="301" ht="12.0" customHeight="1">
      <c r="A301" s="1"/>
      <c r="D301" s="2"/>
      <c r="E301" s="2"/>
      <c r="F301" s="2"/>
      <c r="G301" s="2"/>
      <c r="H301" s="2"/>
      <c r="BR301" s="3"/>
      <c r="BS301" s="3"/>
    </row>
    <row r="302" ht="12.0" customHeight="1">
      <c r="A302" s="1"/>
      <c r="D302" s="2"/>
      <c r="E302" s="2"/>
      <c r="F302" s="2"/>
      <c r="G302" s="2"/>
      <c r="H302" s="2"/>
      <c r="BR302" s="3"/>
      <c r="BS302" s="3"/>
    </row>
    <row r="303" ht="12.0" customHeight="1">
      <c r="A303" s="1"/>
      <c r="D303" s="2"/>
      <c r="E303" s="2"/>
      <c r="F303" s="2"/>
      <c r="G303" s="2"/>
      <c r="H303" s="2"/>
      <c r="BR303" s="3"/>
      <c r="BS303" s="3"/>
    </row>
    <row r="304" ht="12.0" customHeight="1">
      <c r="A304" s="1"/>
      <c r="D304" s="2"/>
      <c r="E304" s="2"/>
      <c r="F304" s="2"/>
      <c r="G304" s="2"/>
      <c r="H304" s="2"/>
      <c r="BR304" s="3"/>
      <c r="BS304" s="3"/>
    </row>
    <row r="305" ht="12.0" customHeight="1">
      <c r="A305" s="1"/>
      <c r="D305" s="2"/>
      <c r="E305" s="2"/>
      <c r="F305" s="2"/>
      <c r="G305" s="2"/>
      <c r="H305" s="2"/>
      <c r="BR305" s="3"/>
      <c r="BS305" s="3"/>
    </row>
    <row r="306" ht="12.0" customHeight="1">
      <c r="A306" s="1"/>
      <c r="D306" s="2"/>
      <c r="E306" s="2"/>
      <c r="F306" s="2"/>
      <c r="G306" s="2"/>
      <c r="H306" s="2"/>
      <c r="BR306" s="3"/>
      <c r="BS306" s="3"/>
    </row>
    <row r="307" ht="12.0" customHeight="1">
      <c r="A307" s="1"/>
      <c r="D307" s="2"/>
      <c r="E307" s="2"/>
      <c r="F307" s="2"/>
      <c r="G307" s="2"/>
      <c r="H307" s="2"/>
      <c r="BR307" s="3"/>
      <c r="BS307" s="3"/>
    </row>
    <row r="308" ht="12.0" customHeight="1">
      <c r="A308" s="1"/>
      <c r="D308" s="2"/>
      <c r="E308" s="2"/>
      <c r="F308" s="2"/>
      <c r="G308" s="2"/>
      <c r="H308" s="2"/>
      <c r="BR308" s="3"/>
      <c r="BS308" s="3"/>
    </row>
    <row r="309" ht="12.0" customHeight="1">
      <c r="A309" s="1"/>
      <c r="D309" s="2"/>
      <c r="E309" s="2"/>
      <c r="F309" s="2"/>
      <c r="G309" s="2"/>
      <c r="H309" s="2"/>
      <c r="BR309" s="3"/>
      <c r="BS309" s="3"/>
    </row>
    <row r="310" ht="12.0" customHeight="1">
      <c r="A310" s="1"/>
      <c r="D310" s="2"/>
      <c r="E310" s="2"/>
      <c r="F310" s="2"/>
      <c r="G310" s="2"/>
      <c r="H310" s="2"/>
      <c r="BR310" s="3"/>
      <c r="BS310" s="3"/>
    </row>
    <row r="311" ht="12.0" customHeight="1">
      <c r="A311" s="1"/>
      <c r="D311" s="2"/>
      <c r="E311" s="2"/>
      <c r="F311" s="2"/>
      <c r="G311" s="2"/>
      <c r="H311" s="2"/>
      <c r="BR311" s="3"/>
      <c r="BS311" s="3"/>
    </row>
    <row r="312" ht="12.0" customHeight="1">
      <c r="A312" s="1"/>
      <c r="D312" s="2"/>
      <c r="E312" s="2"/>
      <c r="F312" s="2"/>
      <c r="G312" s="2"/>
      <c r="H312" s="2"/>
      <c r="BR312" s="3"/>
      <c r="BS312" s="3"/>
    </row>
    <row r="313" ht="12.0" customHeight="1">
      <c r="A313" s="1"/>
      <c r="D313" s="2"/>
      <c r="E313" s="2"/>
      <c r="F313" s="2"/>
      <c r="G313" s="2"/>
      <c r="H313" s="2"/>
      <c r="BR313" s="3"/>
      <c r="BS313" s="3"/>
    </row>
    <row r="314" ht="12.0" customHeight="1">
      <c r="A314" s="1"/>
      <c r="D314" s="2"/>
      <c r="E314" s="2"/>
      <c r="F314" s="2"/>
      <c r="G314" s="2"/>
      <c r="H314" s="2"/>
      <c r="BR314" s="3"/>
      <c r="BS314" s="3"/>
    </row>
    <row r="315" ht="12.0" customHeight="1">
      <c r="A315" s="1"/>
      <c r="D315" s="2"/>
      <c r="E315" s="2"/>
      <c r="F315" s="2"/>
      <c r="G315" s="2"/>
      <c r="H315" s="2"/>
      <c r="BR315" s="3"/>
      <c r="BS315" s="3"/>
    </row>
    <row r="316" ht="12.0" customHeight="1">
      <c r="A316" s="1"/>
      <c r="D316" s="2"/>
      <c r="E316" s="2"/>
      <c r="F316" s="2"/>
      <c r="G316" s="2"/>
      <c r="H316" s="2"/>
      <c r="BR316" s="3"/>
      <c r="BS316" s="3"/>
    </row>
    <row r="317" ht="12.0" customHeight="1">
      <c r="A317" s="1"/>
      <c r="D317" s="2"/>
      <c r="E317" s="2"/>
      <c r="F317" s="2"/>
      <c r="G317" s="2"/>
      <c r="H317" s="2"/>
      <c r="BR317" s="3"/>
      <c r="BS317" s="3"/>
    </row>
    <row r="318" ht="12.0" customHeight="1">
      <c r="A318" s="1"/>
      <c r="D318" s="2"/>
      <c r="E318" s="2"/>
      <c r="F318" s="2"/>
      <c r="G318" s="2"/>
      <c r="H318" s="2"/>
      <c r="BR318" s="3"/>
      <c r="BS318" s="3"/>
    </row>
    <row r="319" ht="12.0" customHeight="1">
      <c r="A319" s="1"/>
      <c r="D319" s="2"/>
      <c r="E319" s="2"/>
      <c r="F319" s="2"/>
      <c r="G319" s="2"/>
      <c r="H319" s="2"/>
      <c r="BR319" s="3"/>
      <c r="BS319" s="3"/>
    </row>
    <row r="320" ht="12.0" customHeight="1">
      <c r="A320" s="1"/>
      <c r="D320" s="2"/>
      <c r="E320" s="2"/>
      <c r="F320" s="2"/>
      <c r="G320" s="2"/>
      <c r="H320" s="2"/>
      <c r="BR320" s="3"/>
      <c r="BS320" s="3"/>
    </row>
    <row r="321" ht="12.0" customHeight="1">
      <c r="A321" s="1"/>
      <c r="D321" s="2"/>
      <c r="E321" s="2"/>
      <c r="F321" s="2"/>
      <c r="G321" s="2"/>
      <c r="H321" s="2"/>
      <c r="BR321" s="3"/>
      <c r="BS321" s="3"/>
    </row>
    <row r="322" ht="12.0" customHeight="1">
      <c r="A322" s="1"/>
      <c r="D322" s="2"/>
      <c r="E322" s="2"/>
      <c r="F322" s="2"/>
      <c r="G322" s="2"/>
      <c r="H322" s="2"/>
      <c r="BR322" s="3"/>
      <c r="BS322" s="3"/>
    </row>
    <row r="323" ht="12.0" customHeight="1">
      <c r="A323" s="1"/>
      <c r="D323" s="2"/>
      <c r="E323" s="2"/>
      <c r="F323" s="2"/>
      <c r="G323" s="2"/>
      <c r="H323" s="2"/>
      <c r="BR323" s="3"/>
      <c r="BS323" s="3"/>
    </row>
    <row r="324" ht="12.0" customHeight="1">
      <c r="A324" s="1"/>
      <c r="D324" s="2"/>
      <c r="E324" s="2"/>
      <c r="F324" s="2"/>
      <c r="G324" s="2"/>
      <c r="H324" s="2"/>
      <c r="BR324" s="3"/>
      <c r="BS324" s="3"/>
    </row>
    <row r="325" ht="12.0" customHeight="1">
      <c r="A325" s="1"/>
      <c r="D325" s="2"/>
      <c r="E325" s="2"/>
      <c r="F325" s="2"/>
      <c r="G325" s="2"/>
      <c r="H325" s="2"/>
      <c r="BR325" s="3"/>
      <c r="BS325" s="3"/>
    </row>
    <row r="326" ht="12.0" customHeight="1">
      <c r="A326" s="1"/>
      <c r="D326" s="2"/>
      <c r="E326" s="2"/>
      <c r="F326" s="2"/>
      <c r="G326" s="2"/>
      <c r="H326" s="2"/>
      <c r="BR326" s="3"/>
      <c r="BS326" s="3"/>
    </row>
    <row r="327" ht="12.0" customHeight="1">
      <c r="A327" s="1"/>
      <c r="D327" s="2"/>
      <c r="E327" s="2"/>
      <c r="F327" s="2"/>
      <c r="G327" s="2"/>
      <c r="H327" s="2"/>
      <c r="BR327" s="3"/>
      <c r="BS327" s="3"/>
    </row>
    <row r="328" ht="12.0" customHeight="1">
      <c r="A328" s="1"/>
      <c r="D328" s="2"/>
      <c r="E328" s="2"/>
      <c r="F328" s="2"/>
      <c r="G328" s="2"/>
      <c r="H328" s="2"/>
      <c r="BR328" s="3"/>
      <c r="BS328" s="3"/>
    </row>
    <row r="329" ht="12.0" customHeight="1">
      <c r="A329" s="1"/>
      <c r="D329" s="2"/>
      <c r="E329" s="2"/>
      <c r="F329" s="2"/>
      <c r="G329" s="2"/>
      <c r="H329" s="2"/>
      <c r="BR329" s="3"/>
      <c r="BS329" s="3"/>
    </row>
    <row r="330" ht="12.0" customHeight="1">
      <c r="A330" s="1"/>
      <c r="D330" s="2"/>
      <c r="E330" s="2"/>
      <c r="F330" s="2"/>
      <c r="G330" s="2"/>
      <c r="H330" s="2"/>
      <c r="BR330" s="3"/>
      <c r="BS330" s="3"/>
    </row>
    <row r="331" ht="12.0" customHeight="1">
      <c r="A331" s="1"/>
      <c r="D331" s="2"/>
      <c r="E331" s="2"/>
      <c r="F331" s="2"/>
      <c r="G331" s="2"/>
      <c r="H331" s="2"/>
      <c r="BR331" s="3"/>
      <c r="BS331" s="3"/>
    </row>
    <row r="332" ht="12.0" customHeight="1">
      <c r="A332" s="1"/>
      <c r="D332" s="2"/>
      <c r="E332" s="2"/>
      <c r="F332" s="2"/>
      <c r="G332" s="2"/>
      <c r="H332" s="2"/>
      <c r="BR332" s="3"/>
      <c r="BS332" s="3"/>
    </row>
    <row r="333" ht="12.0" customHeight="1">
      <c r="A333" s="1"/>
      <c r="D333" s="2"/>
      <c r="E333" s="2"/>
      <c r="F333" s="2"/>
      <c r="G333" s="2"/>
      <c r="H333" s="2"/>
      <c r="BR333" s="3"/>
      <c r="BS333" s="3"/>
    </row>
    <row r="334" ht="12.0" customHeight="1">
      <c r="A334" s="1"/>
      <c r="D334" s="2"/>
      <c r="E334" s="2"/>
      <c r="F334" s="2"/>
      <c r="G334" s="2"/>
      <c r="H334" s="2"/>
      <c r="BR334" s="3"/>
      <c r="BS334" s="3"/>
    </row>
    <row r="335" ht="12.0" customHeight="1">
      <c r="A335" s="1"/>
      <c r="D335" s="2"/>
      <c r="E335" s="2"/>
      <c r="F335" s="2"/>
      <c r="G335" s="2"/>
      <c r="H335" s="2"/>
      <c r="BR335" s="3"/>
      <c r="BS335" s="3"/>
    </row>
    <row r="336" ht="12.0" customHeight="1">
      <c r="A336" s="1"/>
      <c r="D336" s="2"/>
      <c r="E336" s="2"/>
      <c r="F336" s="2"/>
      <c r="G336" s="2"/>
      <c r="H336" s="2"/>
      <c r="BR336" s="3"/>
      <c r="BS336" s="3"/>
    </row>
    <row r="337" ht="12.0" customHeight="1">
      <c r="A337" s="1"/>
      <c r="D337" s="2"/>
      <c r="E337" s="2"/>
      <c r="F337" s="2"/>
      <c r="G337" s="2"/>
      <c r="H337" s="2"/>
      <c r="BR337" s="3"/>
      <c r="BS337" s="3"/>
    </row>
    <row r="338" ht="12.0" customHeight="1">
      <c r="A338" s="1"/>
      <c r="D338" s="2"/>
      <c r="E338" s="2"/>
      <c r="F338" s="2"/>
      <c r="G338" s="2"/>
      <c r="H338" s="2"/>
      <c r="BR338" s="3"/>
      <c r="BS338" s="3"/>
    </row>
    <row r="339" ht="12.0" customHeight="1">
      <c r="A339" s="1"/>
      <c r="D339" s="2"/>
      <c r="E339" s="2"/>
      <c r="F339" s="2"/>
      <c r="G339" s="2"/>
      <c r="H339" s="2"/>
      <c r="BR339" s="3"/>
      <c r="BS339" s="3"/>
    </row>
    <row r="340" ht="12.0" customHeight="1">
      <c r="A340" s="1"/>
      <c r="D340" s="2"/>
      <c r="E340" s="2"/>
      <c r="F340" s="2"/>
      <c r="G340" s="2"/>
      <c r="H340" s="2"/>
      <c r="BR340" s="3"/>
      <c r="BS340" s="3"/>
    </row>
    <row r="341" ht="12.0" customHeight="1">
      <c r="A341" s="1"/>
      <c r="D341" s="2"/>
      <c r="E341" s="2"/>
      <c r="F341" s="2"/>
      <c r="G341" s="2"/>
      <c r="H341" s="2"/>
      <c r="BR341" s="3"/>
      <c r="BS341" s="3"/>
    </row>
    <row r="342" ht="12.0" customHeight="1">
      <c r="A342" s="1"/>
      <c r="D342" s="2"/>
      <c r="E342" s="2"/>
      <c r="F342" s="2"/>
      <c r="G342" s="2"/>
      <c r="H342" s="2"/>
      <c r="BR342" s="3"/>
      <c r="BS342" s="3"/>
    </row>
    <row r="343" ht="12.0" customHeight="1">
      <c r="A343" s="1"/>
      <c r="D343" s="2"/>
      <c r="E343" s="2"/>
      <c r="F343" s="2"/>
      <c r="G343" s="2"/>
      <c r="H343" s="2"/>
      <c r="BR343" s="3"/>
      <c r="BS343" s="3"/>
    </row>
    <row r="344" ht="12.0" customHeight="1">
      <c r="A344" s="1"/>
      <c r="D344" s="2"/>
      <c r="E344" s="2"/>
      <c r="F344" s="2"/>
      <c r="G344" s="2"/>
      <c r="H344" s="2"/>
      <c r="BR344" s="3"/>
      <c r="BS344" s="3"/>
    </row>
    <row r="345" ht="12.0" customHeight="1">
      <c r="A345" s="1"/>
      <c r="D345" s="2"/>
      <c r="E345" s="2"/>
      <c r="F345" s="2"/>
      <c r="G345" s="2"/>
      <c r="H345" s="2"/>
      <c r="BR345" s="3"/>
      <c r="BS345" s="3"/>
    </row>
    <row r="346" ht="12.0" customHeight="1">
      <c r="A346" s="1"/>
      <c r="D346" s="2"/>
      <c r="E346" s="2"/>
      <c r="F346" s="2"/>
      <c r="G346" s="2"/>
      <c r="H346" s="2"/>
      <c r="BR346" s="3"/>
      <c r="BS346" s="3"/>
    </row>
    <row r="347" ht="12.0" customHeight="1">
      <c r="A347" s="1"/>
      <c r="D347" s="2"/>
      <c r="E347" s="2"/>
      <c r="F347" s="2"/>
      <c r="G347" s="2"/>
      <c r="H347" s="2"/>
      <c r="BR347" s="3"/>
      <c r="BS347" s="3"/>
    </row>
    <row r="348" ht="12.0" customHeight="1">
      <c r="A348" s="1"/>
      <c r="D348" s="2"/>
      <c r="E348" s="2"/>
      <c r="F348" s="2"/>
      <c r="G348" s="2"/>
      <c r="H348" s="2"/>
      <c r="BR348" s="3"/>
      <c r="BS348" s="3"/>
    </row>
    <row r="349" ht="12.0" customHeight="1">
      <c r="A349" s="1"/>
      <c r="D349" s="2"/>
      <c r="E349" s="2"/>
      <c r="F349" s="2"/>
      <c r="G349" s="2"/>
      <c r="H349" s="2"/>
      <c r="BR349" s="3"/>
      <c r="BS349" s="3"/>
    </row>
    <row r="350" ht="12.0" customHeight="1">
      <c r="A350" s="1"/>
      <c r="D350" s="2"/>
      <c r="E350" s="2"/>
      <c r="F350" s="2"/>
      <c r="G350" s="2"/>
      <c r="H350" s="2"/>
      <c r="BR350" s="3"/>
      <c r="BS350" s="3"/>
    </row>
    <row r="351" ht="12.0" customHeight="1">
      <c r="A351" s="1"/>
      <c r="D351" s="2"/>
      <c r="E351" s="2"/>
      <c r="F351" s="2"/>
      <c r="G351" s="2"/>
      <c r="H351" s="2"/>
      <c r="BR351" s="3"/>
      <c r="BS351" s="3"/>
    </row>
    <row r="352" ht="12.0" customHeight="1">
      <c r="A352" s="1"/>
      <c r="D352" s="2"/>
      <c r="E352" s="2"/>
      <c r="F352" s="2"/>
      <c r="G352" s="2"/>
      <c r="H352" s="2"/>
      <c r="BR352" s="3"/>
      <c r="BS352" s="3"/>
    </row>
    <row r="353" ht="12.0" customHeight="1">
      <c r="A353" s="1"/>
      <c r="D353" s="2"/>
      <c r="E353" s="2"/>
      <c r="F353" s="2"/>
      <c r="G353" s="2"/>
      <c r="H353" s="2"/>
      <c r="BR353" s="3"/>
      <c r="BS353" s="3"/>
    </row>
    <row r="354" ht="12.0" customHeight="1">
      <c r="A354" s="1"/>
      <c r="D354" s="2"/>
      <c r="E354" s="2"/>
      <c r="F354" s="2"/>
      <c r="G354" s="2"/>
      <c r="H354" s="2"/>
      <c r="BR354" s="3"/>
      <c r="BS354" s="3"/>
    </row>
    <row r="355" ht="12.0" customHeight="1">
      <c r="A355" s="1"/>
      <c r="D355" s="2"/>
      <c r="E355" s="2"/>
      <c r="F355" s="2"/>
      <c r="G355" s="2"/>
      <c r="H355" s="2"/>
      <c r="BR355" s="3"/>
      <c r="BS355" s="3"/>
    </row>
    <row r="356" ht="12.0" customHeight="1">
      <c r="A356" s="1"/>
      <c r="D356" s="2"/>
      <c r="E356" s="2"/>
      <c r="F356" s="2"/>
      <c r="G356" s="2"/>
      <c r="H356" s="2"/>
      <c r="BR356" s="3"/>
      <c r="BS356" s="3"/>
    </row>
    <row r="357" ht="12.0" customHeight="1">
      <c r="A357" s="1"/>
      <c r="D357" s="2"/>
      <c r="E357" s="2"/>
      <c r="F357" s="2"/>
      <c r="G357" s="2"/>
      <c r="H357" s="2"/>
      <c r="BR357" s="3"/>
      <c r="BS357" s="3"/>
    </row>
    <row r="358" ht="12.0" customHeight="1">
      <c r="A358" s="1"/>
      <c r="D358" s="2"/>
      <c r="E358" s="2"/>
      <c r="F358" s="2"/>
      <c r="G358" s="2"/>
      <c r="H358" s="2"/>
      <c r="BR358" s="3"/>
      <c r="BS358" s="3"/>
    </row>
    <row r="359" ht="12.0" customHeight="1">
      <c r="A359" s="1"/>
      <c r="D359" s="2"/>
      <c r="E359" s="2"/>
      <c r="F359" s="2"/>
      <c r="G359" s="2"/>
      <c r="H359" s="2"/>
      <c r="BR359" s="3"/>
      <c r="BS359" s="3"/>
    </row>
    <row r="360" ht="12.0" customHeight="1">
      <c r="A360" s="1"/>
      <c r="D360" s="2"/>
      <c r="E360" s="2"/>
      <c r="F360" s="2"/>
      <c r="G360" s="2"/>
      <c r="H360" s="2"/>
      <c r="BR360" s="3"/>
      <c r="BS360" s="3"/>
    </row>
    <row r="361" ht="12.0" customHeight="1">
      <c r="A361" s="1"/>
      <c r="D361" s="2"/>
      <c r="E361" s="2"/>
      <c r="F361" s="2"/>
      <c r="G361" s="2"/>
      <c r="H361" s="2"/>
      <c r="BR361" s="3"/>
      <c r="BS361" s="3"/>
    </row>
    <row r="362" ht="12.0" customHeight="1">
      <c r="A362" s="1"/>
      <c r="D362" s="2"/>
      <c r="E362" s="2"/>
      <c r="F362" s="2"/>
      <c r="G362" s="2"/>
      <c r="H362" s="2"/>
      <c r="BR362" s="3"/>
      <c r="BS362" s="3"/>
    </row>
    <row r="363" ht="12.0" customHeight="1">
      <c r="A363" s="1"/>
      <c r="D363" s="2"/>
      <c r="E363" s="2"/>
      <c r="F363" s="2"/>
      <c r="G363" s="2"/>
      <c r="H363" s="2"/>
      <c r="BR363" s="3"/>
      <c r="BS363" s="3"/>
    </row>
    <row r="364" ht="12.0" customHeight="1">
      <c r="A364" s="1"/>
      <c r="D364" s="2"/>
      <c r="E364" s="2"/>
      <c r="F364" s="2"/>
      <c r="G364" s="2"/>
      <c r="H364" s="2"/>
      <c r="BR364" s="3"/>
      <c r="BS364" s="3"/>
    </row>
    <row r="365" ht="12.0" customHeight="1">
      <c r="A365" s="1"/>
      <c r="D365" s="2"/>
      <c r="E365" s="2"/>
      <c r="F365" s="2"/>
      <c r="G365" s="2"/>
      <c r="H365" s="2"/>
      <c r="BR365" s="3"/>
      <c r="BS365" s="3"/>
    </row>
    <row r="366" ht="12.0" customHeight="1">
      <c r="A366" s="1"/>
      <c r="D366" s="2"/>
      <c r="E366" s="2"/>
      <c r="F366" s="2"/>
      <c r="G366" s="2"/>
      <c r="H366" s="2"/>
      <c r="BR366" s="3"/>
      <c r="BS366" s="3"/>
    </row>
    <row r="367" ht="12.0" customHeight="1">
      <c r="A367" s="1"/>
      <c r="D367" s="2"/>
      <c r="E367" s="2"/>
      <c r="F367" s="2"/>
      <c r="G367" s="2"/>
      <c r="H367" s="2"/>
      <c r="BR367" s="3"/>
      <c r="BS367" s="3"/>
    </row>
    <row r="368" ht="12.0" customHeight="1">
      <c r="A368" s="1"/>
      <c r="D368" s="2"/>
      <c r="E368" s="2"/>
      <c r="F368" s="2"/>
      <c r="G368" s="2"/>
      <c r="H368" s="2"/>
      <c r="BR368" s="3"/>
      <c r="BS368" s="3"/>
    </row>
    <row r="369" ht="12.0" customHeight="1">
      <c r="A369" s="1"/>
      <c r="D369" s="2"/>
      <c r="E369" s="2"/>
      <c r="F369" s="2"/>
      <c r="G369" s="2"/>
      <c r="H369" s="2"/>
      <c r="BR369" s="3"/>
      <c r="BS369" s="3"/>
    </row>
    <row r="370" ht="12.0" customHeight="1">
      <c r="A370" s="1"/>
      <c r="D370" s="2"/>
      <c r="E370" s="2"/>
      <c r="F370" s="2"/>
      <c r="G370" s="2"/>
      <c r="H370" s="2"/>
      <c r="BR370" s="3"/>
      <c r="BS370" s="3"/>
    </row>
    <row r="371" ht="12.0" customHeight="1">
      <c r="A371" s="1"/>
      <c r="D371" s="2"/>
      <c r="E371" s="2"/>
      <c r="F371" s="2"/>
      <c r="G371" s="2"/>
      <c r="H371" s="2"/>
      <c r="BR371" s="3"/>
      <c r="BS371" s="3"/>
    </row>
    <row r="372" ht="12.0" customHeight="1">
      <c r="A372" s="1"/>
      <c r="D372" s="2"/>
      <c r="E372" s="2"/>
      <c r="F372" s="2"/>
      <c r="G372" s="2"/>
      <c r="H372" s="2"/>
      <c r="BR372" s="3"/>
      <c r="BS372" s="3"/>
    </row>
    <row r="373" ht="12.0" customHeight="1">
      <c r="A373" s="1"/>
      <c r="D373" s="2"/>
      <c r="E373" s="2"/>
      <c r="F373" s="2"/>
      <c r="G373" s="2"/>
      <c r="H373" s="2"/>
      <c r="BR373" s="3"/>
      <c r="BS373" s="3"/>
    </row>
    <row r="374" ht="12.0" customHeight="1">
      <c r="A374" s="1"/>
      <c r="D374" s="2"/>
      <c r="E374" s="2"/>
      <c r="F374" s="2"/>
      <c r="G374" s="2"/>
      <c r="H374" s="2"/>
      <c r="BR374" s="3"/>
      <c r="BS374" s="3"/>
    </row>
    <row r="375" ht="12.0" customHeight="1">
      <c r="A375" s="1"/>
      <c r="D375" s="2"/>
      <c r="E375" s="2"/>
      <c r="F375" s="2"/>
      <c r="G375" s="2"/>
      <c r="H375" s="2"/>
      <c r="BR375" s="3"/>
      <c r="BS375" s="3"/>
    </row>
    <row r="376" ht="12.0" customHeight="1">
      <c r="A376" s="1"/>
      <c r="D376" s="2"/>
      <c r="E376" s="2"/>
      <c r="F376" s="2"/>
      <c r="G376" s="2"/>
      <c r="H376" s="2"/>
      <c r="BR376" s="3"/>
      <c r="BS376" s="3"/>
    </row>
    <row r="377" ht="12.0" customHeight="1">
      <c r="A377" s="1"/>
      <c r="D377" s="2"/>
      <c r="E377" s="2"/>
      <c r="F377" s="2"/>
      <c r="G377" s="2"/>
      <c r="H377" s="2"/>
      <c r="BR377" s="3"/>
      <c r="BS377" s="3"/>
    </row>
    <row r="378" ht="12.0" customHeight="1">
      <c r="A378" s="1"/>
      <c r="D378" s="2"/>
      <c r="E378" s="2"/>
      <c r="F378" s="2"/>
      <c r="G378" s="2"/>
      <c r="H378" s="2"/>
      <c r="BR378" s="3"/>
      <c r="BS378" s="3"/>
    </row>
    <row r="379" ht="12.0" customHeight="1">
      <c r="A379" s="1"/>
      <c r="D379" s="2"/>
      <c r="E379" s="2"/>
      <c r="F379" s="2"/>
      <c r="G379" s="2"/>
      <c r="H379" s="2"/>
      <c r="BR379" s="3"/>
      <c r="BS379" s="3"/>
    </row>
    <row r="380" ht="12.0" customHeight="1">
      <c r="A380" s="1"/>
      <c r="D380" s="2"/>
      <c r="E380" s="2"/>
      <c r="F380" s="2"/>
      <c r="G380" s="2"/>
      <c r="H380" s="2"/>
      <c r="BR380" s="3"/>
      <c r="BS380" s="3"/>
    </row>
    <row r="381" ht="12.0" customHeight="1">
      <c r="A381" s="1"/>
      <c r="D381" s="2"/>
      <c r="E381" s="2"/>
      <c r="F381" s="2"/>
      <c r="G381" s="2"/>
      <c r="H381" s="2"/>
      <c r="BR381" s="3"/>
      <c r="BS381" s="3"/>
    </row>
    <row r="382" ht="12.0" customHeight="1">
      <c r="A382" s="1"/>
      <c r="D382" s="2"/>
      <c r="E382" s="2"/>
      <c r="F382" s="2"/>
      <c r="G382" s="2"/>
      <c r="H382" s="2"/>
      <c r="BR382" s="3"/>
      <c r="BS382" s="3"/>
    </row>
    <row r="383" ht="12.0" customHeight="1">
      <c r="A383" s="1"/>
      <c r="D383" s="2"/>
      <c r="E383" s="2"/>
      <c r="F383" s="2"/>
      <c r="G383" s="2"/>
      <c r="H383" s="2"/>
      <c r="BR383" s="3"/>
      <c r="BS383" s="3"/>
    </row>
    <row r="384" ht="12.0" customHeight="1">
      <c r="A384" s="1"/>
      <c r="D384" s="2"/>
      <c r="E384" s="2"/>
      <c r="F384" s="2"/>
      <c r="G384" s="2"/>
      <c r="H384" s="2"/>
      <c r="BR384" s="3"/>
      <c r="BS384" s="3"/>
    </row>
    <row r="385" ht="12.0" customHeight="1">
      <c r="A385" s="1"/>
      <c r="D385" s="2"/>
      <c r="E385" s="2"/>
      <c r="F385" s="2"/>
      <c r="G385" s="2"/>
      <c r="H385" s="2"/>
      <c r="BR385" s="3"/>
      <c r="BS385" s="3"/>
    </row>
    <row r="386" ht="12.0" customHeight="1">
      <c r="A386" s="1"/>
      <c r="D386" s="2"/>
      <c r="E386" s="2"/>
      <c r="F386" s="2"/>
      <c r="G386" s="2"/>
      <c r="H386" s="2"/>
      <c r="BR386" s="3"/>
      <c r="BS386" s="3"/>
    </row>
    <row r="387" ht="12.0" customHeight="1">
      <c r="A387" s="1"/>
      <c r="D387" s="2"/>
      <c r="E387" s="2"/>
      <c r="F387" s="2"/>
      <c r="G387" s="2"/>
      <c r="H387" s="2"/>
      <c r="BR387" s="3"/>
      <c r="BS387" s="3"/>
    </row>
    <row r="388" ht="12.0" customHeight="1">
      <c r="A388" s="1"/>
      <c r="D388" s="2"/>
      <c r="E388" s="2"/>
      <c r="F388" s="2"/>
      <c r="G388" s="2"/>
      <c r="H388" s="2"/>
      <c r="BR388" s="3"/>
      <c r="BS388" s="3"/>
    </row>
    <row r="389" ht="12.0" customHeight="1">
      <c r="A389" s="1"/>
      <c r="D389" s="2"/>
      <c r="E389" s="2"/>
      <c r="F389" s="2"/>
      <c r="G389" s="2"/>
      <c r="H389" s="2"/>
      <c r="BR389" s="3"/>
      <c r="BS389" s="3"/>
    </row>
    <row r="390" ht="12.0" customHeight="1">
      <c r="A390" s="1"/>
      <c r="D390" s="2"/>
      <c r="E390" s="2"/>
      <c r="F390" s="2"/>
      <c r="G390" s="2"/>
      <c r="H390" s="2"/>
      <c r="BR390" s="3"/>
      <c r="BS390" s="3"/>
    </row>
    <row r="391" ht="12.0" customHeight="1">
      <c r="A391" s="1"/>
      <c r="D391" s="2"/>
      <c r="E391" s="2"/>
      <c r="F391" s="2"/>
      <c r="G391" s="2"/>
      <c r="H391" s="2"/>
      <c r="BR391" s="3"/>
      <c r="BS391" s="3"/>
    </row>
    <row r="392" ht="12.0" customHeight="1">
      <c r="A392" s="1"/>
      <c r="D392" s="2"/>
      <c r="E392" s="2"/>
      <c r="F392" s="2"/>
      <c r="G392" s="2"/>
      <c r="H392" s="2"/>
      <c r="BR392" s="3"/>
      <c r="BS392" s="3"/>
    </row>
    <row r="393" ht="12.0" customHeight="1">
      <c r="A393" s="1"/>
      <c r="D393" s="2"/>
      <c r="E393" s="2"/>
      <c r="F393" s="2"/>
      <c r="G393" s="2"/>
      <c r="H393" s="2"/>
      <c r="BR393" s="3"/>
      <c r="BS393" s="3"/>
    </row>
    <row r="394" ht="12.0" customHeight="1">
      <c r="A394" s="1"/>
      <c r="D394" s="2"/>
      <c r="E394" s="2"/>
      <c r="F394" s="2"/>
      <c r="G394" s="2"/>
      <c r="H394" s="2"/>
      <c r="BR394" s="3"/>
      <c r="BS394" s="3"/>
    </row>
    <row r="395" ht="12.0" customHeight="1">
      <c r="A395" s="1"/>
      <c r="D395" s="2"/>
      <c r="E395" s="2"/>
      <c r="F395" s="2"/>
      <c r="G395" s="2"/>
      <c r="H395" s="2"/>
      <c r="BR395" s="3"/>
      <c r="BS395" s="3"/>
    </row>
    <row r="396" ht="12.0" customHeight="1">
      <c r="A396" s="1"/>
      <c r="D396" s="2"/>
      <c r="E396" s="2"/>
      <c r="F396" s="2"/>
      <c r="G396" s="2"/>
      <c r="H396" s="2"/>
      <c r="BR396" s="3"/>
      <c r="BS396" s="3"/>
    </row>
    <row r="397" ht="12.0" customHeight="1">
      <c r="A397" s="1"/>
      <c r="D397" s="2"/>
      <c r="E397" s="2"/>
      <c r="F397" s="2"/>
      <c r="G397" s="2"/>
      <c r="H397" s="2"/>
      <c r="BR397" s="3"/>
      <c r="BS397" s="3"/>
    </row>
    <row r="398" ht="12.0" customHeight="1">
      <c r="A398" s="1"/>
      <c r="D398" s="2"/>
      <c r="E398" s="2"/>
      <c r="F398" s="2"/>
      <c r="G398" s="2"/>
      <c r="H398" s="2"/>
      <c r="BR398" s="3"/>
      <c r="BS398" s="3"/>
    </row>
    <row r="399" ht="12.0" customHeight="1">
      <c r="A399" s="1"/>
      <c r="D399" s="2"/>
      <c r="E399" s="2"/>
      <c r="F399" s="2"/>
      <c r="G399" s="2"/>
      <c r="H399" s="2"/>
      <c r="BR399" s="3"/>
      <c r="BS399" s="3"/>
    </row>
    <row r="400" ht="12.0" customHeight="1">
      <c r="A400" s="1"/>
      <c r="D400" s="2"/>
      <c r="E400" s="2"/>
      <c r="F400" s="2"/>
      <c r="G400" s="2"/>
      <c r="H400" s="2"/>
      <c r="BR400" s="3"/>
      <c r="BS400" s="3"/>
    </row>
    <row r="401" ht="12.0" customHeight="1">
      <c r="A401" s="1"/>
      <c r="D401" s="2"/>
      <c r="E401" s="2"/>
      <c r="F401" s="2"/>
      <c r="G401" s="2"/>
      <c r="H401" s="2"/>
      <c r="BR401" s="3"/>
      <c r="BS401" s="3"/>
    </row>
    <row r="402" ht="12.0" customHeight="1">
      <c r="A402" s="1"/>
      <c r="D402" s="2"/>
      <c r="E402" s="2"/>
      <c r="F402" s="2"/>
      <c r="G402" s="2"/>
      <c r="H402" s="2"/>
      <c r="BR402" s="3"/>
      <c r="BS402" s="3"/>
    </row>
    <row r="403" ht="12.0" customHeight="1">
      <c r="A403" s="1"/>
      <c r="D403" s="2"/>
      <c r="E403" s="2"/>
      <c r="F403" s="2"/>
      <c r="G403" s="2"/>
      <c r="H403" s="2"/>
      <c r="BR403" s="3"/>
      <c r="BS403" s="3"/>
    </row>
    <row r="404" ht="12.0" customHeight="1">
      <c r="A404" s="1"/>
      <c r="D404" s="2"/>
      <c r="E404" s="2"/>
      <c r="F404" s="2"/>
      <c r="G404" s="2"/>
      <c r="H404" s="2"/>
      <c r="BR404" s="3"/>
      <c r="BS404" s="3"/>
    </row>
    <row r="405" ht="12.0" customHeight="1">
      <c r="A405" s="1"/>
      <c r="D405" s="2"/>
      <c r="E405" s="2"/>
      <c r="F405" s="2"/>
      <c r="G405" s="2"/>
      <c r="H405" s="2"/>
      <c r="BR405" s="3"/>
      <c r="BS405" s="3"/>
    </row>
    <row r="406" ht="12.0" customHeight="1">
      <c r="A406" s="1"/>
      <c r="D406" s="2"/>
      <c r="E406" s="2"/>
      <c r="F406" s="2"/>
      <c r="G406" s="2"/>
      <c r="H406" s="2"/>
      <c r="BR406" s="3"/>
      <c r="BS406" s="3"/>
    </row>
    <row r="407" ht="12.0" customHeight="1">
      <c r="A407" s="1"/>
      <c r="D407" s="2"/>
      <c r="E407" s="2"/>
      <c r="F407" s="2"/>
      <c r="G407" s="2"/>
      <c r="H407" s="2"/>
      <c r="BR407" s="3"/>
      <c r="BS407" s="3"/>
    </row>
    <row r="408" ht="12.0" customHeight="1">
      <c r="A408" s="1"/>
      <c r="D408" s="2"/>
      <c r="E408" s="2"/>
      <c r="F408" s="2"/>
      <c r="G408" s="2"/>
      <c r="H408" s="2"/>
      <c r="BR408" s="3"/>
      <c r="BS408" s="3"/>
    </row>
    <row r="409" ht="12.0" customHeight="1">
      <c r="A409" s="1"/>
      <c r="D409" s="2"/>
      <c r="E409" s="2"/>
      <c r="F409" s="2"/>
      <c r="G409" s="2"/>
      <c r="H409" s="2"/>
      <c r="BR409" s="3"/>
      <c r="BS409" s="3"/>
    </row>
    <row r="410" ht="12.0" customHeight="1">
      <c r="A410" s="1"/>
      <c r="D410" s="2"/>
      <c r="E410" s="2"/>
      <c r="F410" s="2"/>
      <c r="G410" s="2"/>
      <c r="H410" s="2"/>
      <c r="BR410" s="3"/>
      <c r="BS410" s="3"/>
    </row>
    <row r="411" ht="12.0" customHeight="1">
      <c r="A411" s="1"/>
      <c r="D411" s="2"/>
      <c r="E411" s="2"/>
      <c r="F411" s="2"/>
      <c r="G411" s="2"/>
      <c r="H411" s="2"/>
      <c r="BR411" s="3"/>
      <c r="BS411" s="3"/>
    </row>
    <row r="412" ht="12.0" customHeight="1">
      <c r="A412" s="1"/>
      <c r="D412" s="2"/>
      <c r="E412" s="2"/>
      <c r="F412" s="2"/>
      <c r="G412" s="2"/>
      <c r="H412" s="2"/>
      <c r="BR412" s="3"/>
      <c r="BS412" s="3"/>
    </row>
    <row r="413" ht="12.0" customHeight="1">
      <c r="A413" s="1"/>
      <c r="D413" s="2"/>
      <c r="E413" s="2"/>
      <c r="F413" s="2"/>
      <c r="G413" s="2"/>
      <c r="H413" s="2"/>
      <c r="BR413" s="3"/>
      <c r="BS413" s="3"/>
    </row>
    <row r="414" ht="12.0" customHeight="1">
      <c r="A414" s="1"/>
      <c r="D414" s="2"/>
      <c r="E414" s="2"/>
      <c r="F414" s="2"/>
      <c r="G414" s="2"/>
      <c r="H414" s="2"/>
      <c r="BR414" s="3"/>
      <c r="BS414" s="3"/>
    </row>
    <row r="415" ht="12.0" customHeight="1">
      <c r="A415" s="1"/>
      <c r="D415" s="2"/>
      <c r="E415" s="2"/>
      <c r="F415" s="2"/>
      <c r="G415" s="2"/>
      <c r="H415" s="2"/>
      <c r="BR415" s="3"/>
      <c r="BS415" s="3"/>
    </row>
    <row r="416" ht="12.0" customHeight="1">
      <c r="A416" s="1"/>
      <c r="D416" s="2"/>
      <c r="E416" s="2"/>
      <c r="F416" s="2"/>
      <c r="G416" s="2"/>
      <c r="H416" s="2"/>
      <c r="BR416" s="3"/>
      <c r="BS416" s="3"/>
    </row>
    <row r="417" ht="12.0" customHeight="1">
      <c r="A417" s="1"/>
      <c r="D417" s="2"/>
      <c r="E417" s="2"/>
      <c r="F417" s="2"/>
      <c r="G417" s="2"/>
      <c r="H417" s="2"/>
      <c r="BR417" s="3"/>
      <c r="BS417" s="3"/>
    </row>
    <row r="418" ht="12.0" customHeight="1">
      <c r="A418" s="1"/>
      <c r="D418" s="2"/>
      <c r="E418" s="2"/>
      <c r="F418" s="2"/>
      <c r="G418" s="2"/>
      <c r="H418" s="2"/>
      <c r="BR418" s="3"/>
      <c r="BS418" s="3"/>
    </row>
    <row r="419" ht="12.0" customHeight="1">
      <c r="A419" s="1"/>
      <c r="D419" s="2"/>
      <c r="E419" s="2"/>
      <c r="F419" s="2"/>
      <c r="G419" s="2"/>
      <c r="H419" s="2"/>
      <c r="BR419" s="3"/>
      <c r="BS419" s="3"/>
    </row>
    <row r="420" ht="12.0" customHeight="1">
      <c r="A420" s="1"/>
      <c r="D420" s="2"/>
      <c r="E420" s="2"/>
      <c r="F420" s="2"/>
      <c r="G420" s="2"/>
      <c r="H420" s="2"/>
      <c r="BR420" s="3"/>
      <c r="BS420" s="3"/>
    </row>
    <row r="421" ht="12.0" customHeight="1">
      <c r="A421" s="1"/>
      <c r="D421" s="2"/>
      <c r="E421" s="2"/>
      <c r="F421" s="2"/>
      <c r="G421" s="2"/>
      <c r="H421" s="2"/>
      <c r="BR421" s="3"/>
      <c r="BS421" s="3"/>
    </row>
    <row r="422" ht="12.0" customHeight="1">
      <c r="A422" s="1"/>
      <c r="D422" s="2"/>
      <c r="E422" s="2"/>
      <c r="F422" s="2"/>
      <c r="G422" s="2"/>
      <c r="H422" s="2"/>
      <c r="BR422" s="3"/>
      <c r="BS422" s="3"/>
    </row>
    <row r="423" ht="12.0" customHeight="1">
      <c r="A423" s="1"/>
      <c r="D423" s="2"/>
      <c r="E423" s="2"/>
      <c r="F423" s="2"/>
      <c r="G423" s="2"/>
      <c r="H423" s="2"/>
      <c r="BR423" s="3"/>
      <c r="BS423" s="3"/>
    </row>
    <row r="424" ht="12.0" customHeight="1">
      <c r="A424" s="1"/>
      <c r="D424" s="2"/>
      <c r="E424" s="2"/>
      <c r="F424" s="2"/>
      <c r="G424" s="2"/>
      <c r="H424" s="2"/>
      <c r="BR424" s="3"/>
      <c r="BS424" s="3"/>
    </row>
    <row r="425" ht="12.0" customHeight="1">
      <c r="A425" s="1"/>
      <c r="D425" s="2"/>
      <c r="E425" s="2"/>
      <c r="F425" s="2"/>
      <c r="G425" s="2"/>
      <c r="H425" s="2"/>
      <c r="BR425" s="3"/>
      <c r="BS425" s="3"/>
    </row>
    <row r="426" ht="12.0" customHeight="1">
      <c r="A426" s="1"/>
      <c r="D426" s="2"/>
      <c r="E426" s="2"/>
      <c r="F426" s="2"/>
      <c r="G426" s="2"/>
      <c r="H426" s="2"/>
      <c r="BR426" s="3"/>
      <c r="BS426" s="3"/>
    </row>
    <row r="427" ht="12.0" customHeight="1">
      <c r="A427" s="1"/>
      <c r="D427" s="2"/>
      <c r="E427" s="2"/>
      <c r="F427" s="2"/>
      <c r="G427" s="2"/>
      <c r="H427" s="2"/>
      <c r="BR427" s="3"/>
      <c r="BS427" s="3"/>
    </row>
    <row r="428" ht="12.0" customHeight="1">
      <c r="A428" s="1"/>
      <c r="D428" s="2"/>
      <c r="E428" s="2"/>
      <c r="F428" s="2"/>
      <c r="G428" s="2"/>
      <c r="H428" s="2"/>
      <c r="BR428" s="3"/>
      <c r="BS428" s="3"/>
    </row>
    <row r="429" ht="12.0" customHeight="1">
      <c r="A429" s="1"/>
      <c r="D429" s="2"/>
      <c r="E429" s="2"/>
      <c r="F429" s="2"/>
      <c r="G429" s="2"/>
      <c r="H429" s="2"/>
      <c r="BR429" s="3"/>
      <c r="BS429" s="3"/>
    </row>
    <row r="430" ht="12.0" customHeight="1">
      <c r="A430" s="1"/>
      <c r="D430" s="2"/>
      <c r="E430" s="2"/>
      <c r="F430" s="2"/>
      <c r="G430" s="2"/>
      <c r="H430" s="2"/>
      <c r="BR430" s="3"/>
      <c r="BS430" s="3"/>
    </row>
    <row r="431" ht="12.0" customHeight="1">
      <c r="A431" s="1"/>
      <c r="D431" s="2"/>
      <c r="E431" s="2"/>
      <c r="F431" s="2"/>
      <c r="G431" s="2"/>
      <c r="H431" s="2"/>
      <c r="BR431" s="3"/>
      <c r="BS431" s="3"/>
    </row>
    <row r="432" ht="12.0" customHeight="1">
      <c r="A432" s="1"/>
      <c r="D432" s="2"/>
      <c r="E432" s="2"/>
      <c r="F432" s="2"/>
      <c r="G432" s="2"/>
      <c r="H432" s="2"/>
      <c r="BR432" s="3"/>
      <c r="BS432" s="3"/>
    </row>
    <row r="433" ht="12.0" customHeight="1">
      <c r="A433" s="1"/>
      <c r="D433" s="2"/>
      <c r="E433" s="2"/>
      <c r="F433" s="2"/>
      <c r="G433" s="2"/>
      <c r="H433" s="2"/>
      <c r="BR433" s="3"/>
      <c r="BS433" s="3"/>
    </row>
    <row r="434" ht="12.0" customHeight="1">
      <c r="A434" s="1"/>
      <c r="D434" s="2"/>
      <c r="E434" s="2"/>
      <c r="F434" s="2"/>
      <c r="G434" s="2"/>
      <c r="H434" s="2"/>
      <c r="BR434" s="3"/>
      <c r="BS434" s="3"/>
    </row>
    <row r="435" ht="12.0" customHeight="1">
      <c r="A435" s="1"/>
      <c r="D435" s="2"/>
      <c r="E435" s="2"/>
      <c r="F435" s="2"/>
      <c r="G435" s="2"/>
      <c r="H435" s="2"/>
      <c r="BR435" s="3"/>
      <c r="BS435" s="3"/>
    </row>
    <row r="436" ht="12.0" customHeight="1">
      <c r="A436" s="1"/>
      <c r="D436" s="2"/>
      <c r="E436" s="2"/>
      <c r="F436" s="2"/>
      <c r="G436" s="2"/>
      <c r="H436" s="2"/>
      <c r="BR436" s="3"/>
      <c r="BS436" s="3"/>
    </row>
    <row r="437" ht="12.0" customHeight="1">
      <c r="A437" s="1"/>
      <c r="D437" s="2"/>
      <c r="E437" s="2"/>
      <c r="F437" s="2"/>
      <c r="G437" s="2"/>
      <c r="H437" s="2"/>
      <c r="BR437" s="3"/>
      <c r="BS437" s="3"/>
    </row>
    <row r="438" ht="12.0" customHeight="1">
      <c r="A438" s="1"/>
      <c r="D438" s="2"/>
      <c r="E438" s="2"/>
      <c r="F438" s="2"/>
      <c r="G438" s="2"/>
      <c r="H438" s="2"/>
      <c r="BR438" s="3"/>
      <c r="BS438" s="3"/>
    </row>
    <row r="439" ht="12.0" customHeight="1">
      <c r="A439" s="1"/>
      <c r="D439" s="2"/>
      <c r="E439" s="2"/>
      <c r="F439" s="2"/>
      <c r="G439" s="2"/>
      <c r="H439" s="2"/>
      <c r="BR439" s="3"/>
      <c r="BS439" s="3"/>
    </row>
    <row r="440" ht="12.0" customHeight="1">
      <c r="A440" s="1"/>
      <c r="D440" s="2"/>
      <c r="E440" s="2"/>
      <c r="F440" s="2"/>
      <c r="G440" s="2"/>
      <c r="H440" s="2"/>
      <c r="BR440" s="3"/>
      <c r="BS440" s="3"/>
    </row>
    <row r="441" ht="12.0" customHeight="1">
      <c r="A441" s="1"/>
      <c r="D441" s="2"/>
      <c r="E441" s="2"/>
      <c r="F441" s="2"/>
      <c r="G441" s="2"/>
      <c r="H441" s="2"/>
      <c r="BR441" s="3"/>
      <c r="BS441" s="3"/>
    </row>
    <row r="442" ht="12.0" customHeight="1">
      <c r="A442" s="1"/>
      <c r="D442" s="2"/>
      <c r="E442" s="2"/>
      <c r="F442" s="2"/>
      <c r="G442" s="2"/>
      <c r="H442" s="2"/>
      <c r="BR442" s="3"/>
      <c r="BS442" s="3"/>
    </row>
    <row r="443" ht="12.0" customHeight="1">
      <c r="A443" s="1"/>
      <c r="D443" s="2"/>
      <c r="E443" s="2"/>
      <c r="F443" s="2"/>
      <c r="G443" s="2"/>
      <c r="H443" s="2"/>
      <c r="BR443" s="3"/>
      <c r="BS443" s="3"/>
    </row>
    <row r="444" ht="12.0" customHeight="1">
      <c r="A444" s="1"/>
      <c r="D444" s="2"/>
      <c r="E444" s="2"/>
      <c r="F444" s="2"/>
      <c r="G444" s="2"/>
      <c r="H444" s="2"/>
      <c r="BR444" s="3"/>
      <c r="BS444" s="3"/>
    </row>
    <row r="445" ht="12.0" customHeight="1">
      <c r="A445" s="1"/>
      <c r="D445" s="2"/>
      <c r="E445" s="2"/>
      <c r="F445" s="2"/>
      <c r="G445" s="2"/>
      <c r="H445" s="2"/>
      <c r="BR445" s="3"/>
      <c r="BS445" s="3"/>
    </row>
    <row r="446" ht="12.0" customHeight="1">
      <c r="A446" s="1"/>
      <c r="D446" s="2"/>
      <c r="E446" s="2"/>
      <c r="F446" s="2"/>
      <c r="G446" s="2"/>
      <c r="H446" s="2"/>
      <c r="BR446" s="3"/>
      <c r="BS446" s="3"/>
    </row>
    <row r="447" ht="12.0" customHeight="1">
      <c r="A447" s="1"/>
      <c r="D447" s="2"/>
      <c r="E447" s="2"/>
      <c r="F447" s="2"/>
      <c r="G447" s="2"/>
      <c r="H447" s="2"/>
      <c r="BR447" s="3"/>
      <c r="BS447" s="3"/>
    </row>
    <row r="448" ht="12.0" customHeight="1">
      <c r="A448" s="1"/>
      <c r="D448" s="2"/>
      <c r="E448" s="2"/>
      <c r="F448" s="2"/>
      <c r="G448" s="2"/>
      <c r="H448" s="2"/>
      <c r="BR448" s="3"/>
      <c r="BS448" s="3"/>
    </row>
    <row r="449" ht="12.0" customHeight="1">
      <c r="A449" s="1"/>
      <c r="D449" s="2"/>
      <c r="E449" s="2"/>
      <c r="F449" s="2"/>
      <c r="G449" s="2"/>
      <c r="H449" s="2"/>
      <c r="BR449" s="3"/>
      <c r="BS449" s="3"/>
    </row>
    <row r="450" ht="12.0" customHeight="1">
      <c r="A450" s="1"/>
      <c r="D450" s="2"/>
      <c r="E450" s="2"/>
      <c r="F450" s="2"/>
      <c r="G450" s="2"/>
      <c r="H450" s="2"/>
      <c r="BR450" s="3"/>
      <c r="BS450" s="3"/>
    </row>
    <row r="451" ht="12.0" customHeight="1">
      <c r="A451" s="1"/>
      <c r="D451" s="2"/>
      <c r="E451" s="2"/>
      <c r="F451" s="2"/>
      <c r="G451" s="2"/>
      <c r="H451" s="2"/>
      <c r="BR451" s="3"/>
      <c r="BS451" s="3"/>
    </row>
    <row r="452" ht="12.0" customHeight="1">
      <c r="A452" s="1"/>
      <c r="D452" s="2"/>
      <c r="E452" s="2"/>
      <c r="F452" s="2"/>
      <c r="G452" s="2"/>
      <c r="H452" s="2"/>
      <c r="BR452" s="3"/>
      <c r="BS452" s="3"/>
    </row>
    <row r="453" ht="12.0" customHeight="1">
      <c r="A453" s="1"/>
      <c r="D453" s="2"/>
      <c r="E453" s="2"/>
      <c r="F453" s="2"/>
      <c r="G453" s="2"/>
      <c r="H453" s="2"/>
      <c r="BR453" s="3"/>
      <c r="BS453" s="3"/>
    </row>
    <row r="454" ht="12.0" customHeight="1">
      <c r="A454" s="1"/>
      <c r="D454" s="2"/>
      <c r="E454" s="2"/>
      <c r="F454" s="2"/>
      <c r="G454" s="2"/>
      <c r="H454" s="2"/>
      <c r="BR454" s="3"/>
      <c r="BS454" s="3"/>
    </row>
    <row r="455" ht="12.0" customHeight="1">
      <c r="A455" s="1"/>
      <c r="D455" s="2"/>
      <c r="E455" s="2"/>
      <c r="F455" s="2"/>
      <c r="G455" s="2"/>
      <c r="H455" s="2"/>
      <c r="BR455" s="3"/>
      <c r="BS455" s="3"/>
    </row>
    <row r="456" ht="12.0" customHeight="1">
      <c r="A456" s="1"/>
      <c r="D456" s="2"/>
      <c r="E456" s="2"/>
      <c r="F456" s="2"/>
      <c r="G456" s="2"/>
      <c r="H456" s="2"/>
      <c r="BR456" s="3"/>
      <c r="BS456" s="3"/>
    </row>
    <row r="457" ht="12.0" customHeight="1">
      <c r="A457" s="1"/>
      <c r="D457" s="2"/>
      <c r="E457" s="2"/>
      <c r="F457" s="2"/>
      <c r="G457" s="2"/>
      <c r="H457" s="2"/>
      <c r="BR457" s="3"/>
      <c r="BS457" s="3"/>
    </row>
    <row r="458" ht="12.0" customHeight="1">
      <c r="A458" s="1"/>
      <c r="D458" s="2"/>
      <c r="E458" s="2"/>
      <c r="F458" s="2"/>
      <c r="G458" s="2"/>
      <c r="H458" s="2"/>
      <c r="BR458" s="3"/>
      <c r="BS458" s="3"/>
    </row>
    <row r="459" ht="12.0" customHeight="1">
      <c r="A459" s="1"/>
      <c r="D459" s="2"/>
      <c r="E459" s="2"/>
      <c r="F459" s="2"/>
      <c r="G459" s="2"/>
      <c r="H459" s="2"/>
      <c r="BR459" s="3"/>
      <c r="BS459" s="3"/>
    </row>
    <row r="460" ht="12.0" customHeight="1">
      <c r="A460" s="1"/>
      <c r="D460" s="2"/>
      <c r="E460" s="2"/>
      <c r="F460" s="2"/>
      <c r="G460" s="2"/>
      <c r="H460" s="2"/>
      <c r="BR460" s="3"/>
      <c r="BS460" s="3"/>
    </row>
    <row r="461" ht="12.0" customHeight="1">
      <c r="A461" s="1"/>
      <c r="D461" s="2"/>
      <c r="E461" s="2"/>
      <c r="F461" s="2"/>
      <c r="G461" s="2"/>
      <c r="H461" s="2"/>
      <c r="BR461" s="3"/>
      <c r="BS461" s="3"/>
    </row>
    <row r="462" ht="12.0" customHeight="1">
      <c r="A462" s="1"/>
      <c r="D462" s="2"/>
      <c r="E462" s="2"/>
      <c r="F462" s="2"/>
      <c r="G462" s="2"/>
      <c r="H462" s="2"/>
      <c r="BR462" s="3"/>
      <c r="BS462" s="3"/>
    </row>
    <row r="463" ht="12.0" customHeight="1">
      <c r="A463" s="1"/>
      <c r="D463" s="2"/>
      <c r="E463" s="2"/>
      <c r="F463" s="2"/>
      <c r="G463" s="2"/>
      <c r="H463" s="2"/>
      <c r="BR463" s="3"/>
      <c r="BS463" s="3"/>
    </row>
    <row r="464" ht="12.0" customHeight="1">
      <c r="A464" s="1"/>
      <c r="D464" s="2"/>
      <c r="E464" s="2"/>
      <c r="F464" s="2"/>
      <c r="G464" s="2"/>
      <c r="H464" s="2"/>
      <c r="BR464" s="3"/>
      <c r="BS464" s="3"/>
    </row>
    <row r="465" ht="12.0" customHeight="1">
      <c r="A465" s="1"/>
      <c r="D465" s="2"/>
      <c r="E465" s="2"/>
      <c r="F465" s="2"/>
      <c r="G465" s="2"/>
      <c r="H465" s="2"/>
      <c r="BR465" s="3"/>
      <c r="BS465" s="3"/>
    </row>
    <row r="466" ht="12.0" customHeight="1">
      <c r="A466" s="1"/>
      <c r="D466" s="2"/>
      <c r="E466" s="2"/>
      <c r="F466" s="2"/>
      <c r="G466" s="2"/>
      <c r="H466" s="2"/>
      <c r="BR466" s="3"/>
      <c r="BS466" s="3"/>
    </row>
    <row r="467" ht="12.0" customHeight="1">
      <c r="A467" s="1"/>
      <c r="D467" s="2"/>
      <c r="E467" s="2"/>
      <c r="F467" s="2"/>
      <c r="G467" s="2"/>
      <c r="H467" s="2"/>
      <c r="BR467" s="3"/>
      <c r="BS467" s="3"/>
    </row>
    <row r="468" ht="12.0" customHeight="1">
      <c r="A468" s="1"/>
      <c r="D468" s="2"/>
      <c r="E468" s="2"/>
      <c r="F468" s="2"/>
      <c r="G468" s="2"/>
      <c r="H468" s="2"/>
      <c r="BR468" s="3"/>
      <c r="BS468" s="3"/>
    </row>
    <row r="469" ht="12.0" customHeight="1">
      <c r="A469" s="1"/>
      <c r="D469" s="2"/>
      <c r="E469" s="2"/>
      <c r="F469" s="2"/>
      <c r="G469" s="2"/>
      <c r="H469" s="2"/>
      <c r="BR469" s="3"/>
      <c r="BS469" s="3"/>
    </row>
    <row r="470" ht="12.0" customHeight="1">
      <c r="A470" s="1"/>
      <c r="D470" s="2"/>
      <c r="E470" s="2"/>
      <c r="F470" s="2"/>
      <c r="G470" s="2"/>
      <c r="H470" s="2"/>
      <c r="BR470" s="3"/>
      <c r="BS470" s="3"/>
    </row>
    <row r="471" ht="12.0" customHeight="1">
      <c r="A471" s="1"/>
      <c r="D471" s="2"/>
      <c r="E471" s="2"/>
      <c r="F471" s="2"/>
      <c r="G471" s="2"/>
      <c r="H471" s="2"/>
      <c r="BR471" s="3"/>
      <c r="BS471" s="3"/>
    </row>
    <row r="472" ht="12.0" customHeight="1">
      <c r="A472" s="1"/>
      <c r="D472" s="2"/>
      <c r="E472" s="2"/>
      <c r="F472" s="2"/>
      <c r="G472" s="2"/>
      <c r="H472" s="2"/>
      <c r="BR472" s="3"/>
      <c r="BS472" s="3"/>
    </row>
    <row r="473" ht="12.0" customHeight="1">
      <c r="A473" s="1"/>
      <c r="D473" s="2"/>
      <c r="E473" s="2"/>
      <c r="F473" s="2"/>
      <c r="G473" s="2"/>
      <c r="H473" s="2"/>
      <c r="BR473" s="3"/>
      <c r="BS473" s="3"/>
    </row>
    <row r="474" ht="12.0" customHeight="1">
      <c r="A474" s="1"/>
      <c r="D474" s="2"/>
      <c r="E474" s="2"/>
      <c r="F474" s="2"/>
      <c r="G474" s="2"/>
      <c r="H474" s="2"/>
      <c r="BR474" s="3"/>
      <c r="BS474" s="3"/>
    </row>
    <row r="475" ht="12.0" customHeight="1">
      <c r="A475" s="1"/>
      <c r="D475" s="2"/>
      <c r="E475" s="2"/>
      <c r="F475" s="2"/>
      <c r="G475" s="2"/>
      <c r="H475" s="2"/>
      <c r="BR475" s="3"/>
      <c r="BS475" s="3"/>
    </row>
    <row r="476" ht="12.0" customHeight="1">
      <c r="A476" s="1"/>
      <c r="D476" s="2"/>
      <c r="E476" s="2"/>
      <c r="F476" s="2"/>
      <c r="G476" s="2"/>
      <c r="H476" s="2"/>
      <c r="BR476" s="3"/>
      <c r="BS476" s="3"/>
    </row>
    <row r="477" ht="12.0" customHeight="1">
      <c r="A477" s="1"/>
      <c r="D477" s="2"/>
      <c r="E477" s="2"/>
      <c r="F477" s="2"/>
      <c r="G477" s="2"/>
      <c r="H477" s="2"/>
      <c r="BR477" s="3"/>
      <c r="BS477" s="3"/>
    </row>
    <row r="478" ht="12.0" customHeight="1">
      <c r="A478" s="1"/>
      <c r="D478" s="2"/>
      <c r="E478" s="2"/>
      <c r="F478" s="2"/>
      <c r="G478" s="2"/>
      <c r="H478" s="2"/>
      <c r="BR478" s="3"/>
      <c r="BS478" s="3"/>
    </row>
    <row r="479" ht="12.0" customHeight="1">
      <c r="A479" s="1"/>
      <c r="D479" s="2"/>
      <c r="E479" s="2"/>
      <c r="F479" s="2"/>
      <c r="G479" s="2"/>
      <c r="H479" s="2"/>
      <c r="BR479" s="3"/>
      <c r="BS479" s="3"/>
    </row>
    <row r="480" ht="12.0" customHeight="1">
      <c r="A480" s="1"/>
      <c r="D480" s="2"/>
      <c r="E480" s="2"/>
      <c r="F480" s="2"/>
      <c r="G480" s="2"/>
      <c r="H480" s="2"/>
      <c r="BR480" s="3"/>
      <c r="BS480" s="3"/>
    </row>
    <row r="481" ht="12.0" customHeight="1">
      <c r="A481" s="1"/>
      <c r="D481" s="2"/>
      <c r="E481" s="2"/>
      <c r="F481" s="2"/>
      <c r="G481" s="2"/>
      <c r="H481" s="2"/>
      <c r="BR481" s="3"/>
      <c r="BS481" s="3"/>
    </row>
    <row r="482" ht="12.0" customHeight="1">
      <c r="A482" s="1"/>
      <c r="D482" s="2"/>
      <c r="E482" s="2"/>
      <c r="F482" s="2"/>
      <c r="G482" s="2"/>
      <c r="H482" s="2"/>
      <c r="BR482" s="3"/>
      <c r="BS482" s="3"/>
    </row>
    <row r="483" ht="12.0" customHeight="1">
      <c r="A483" s="1"/>
      <c r="D483" s="2"/>
      <c r="E483" s="2"/>
      <c r="F483" s="2"/>
      <c r="G483" s="2"/>
      <c r="H483" s="2"/>
      <c r="BR483" s="3"/>
      <c r="BS483" s="3"/>
    </row>
    <row r="484" ht="12.0" customHeight="1">
      <c r="A484" s="1"/>
      <c r="D484" s="2"/>
      <c r="E484" s="2"/>
      <c r="F484" s="2"/>
      <c r="G484" s="2"/>
      <c r="H484" s="2"/>
      <c r="BR484" s="3"/>
      <c r="BS484" s="3"/>
    </row>
    <row r="485" ht="12.0" customHeight="1">
      <c r="A485" s="1"/>
      <c r="D485" s="2"/>
      <c r="E485" s="2"/>
      <c r="F485" s="2"/>
      <c r="G485" s="2"/>
      <c r="H485" s="2"/>
      <c r="BR485" s="3"/>
      <c r="BS485" s="3"/>
    </row>
    <row r="486" ht="12.0" customHeight="1">
      <c r="A486" s="1"/>
      <c r="D486" s="2"/>
      <c r="E486" s="2"/>
      <c r="F486" s="2"/>
      <c r="G486" s="2"/>
      <c r="H486" s="2"/>
      <c r="BR486" s="3"/>
      <c r="BS486" s="3"/>
    </row>
    <row r="487" ht="12.0" customHeight="1">
      <c r="A487" s="1"/>
      <c r="D487" s="2"/>
      <c r="E487" s="2"/>
      <c r="F487" s="2"/>
      <c r="G487" s="2"/>
      <c r="H487" s="2"/>
      <c r="BR487" s="3"/>
      <c r="BS487" s="3"/>
    </row>
    <row r="488" ht="12.0" customHeight="1">
      <c r="A488" s="1"/>
      <c r="D488" s="2"/>
      <c r="E488" s="2"/>
      <c r="F488" s="2"/>
      <c r="G488" s="2"/>
      <c r="H488" s="2"/>
      <c r="BR488" s="3"/>
      <c r="BS488" s="3"/>
    </row>
    <row r="489" ht="12.0" customHeight="1">
      <c r="A489" s="1"/>
      <c r="D489" s="2"/>
      <c r="E489" s="2"/>
      <c r="F489" s="2"/>
      <c r="G489" s="2"/>
      <c r="H489" s="2"/>
      <c r="BR489" s="3"/>
      <c r="BS489" s="3"/>
    </row>
    <row r="490" ht="12.0" customHeight="1">
      <c r="A490" s="1"/>
      <c r="D490" s="2"/>
      <c r="E490" s="2"/>
      <c r="F490" s="2"/>
      <c r="G490" s="2"/>
      <c r="H490" s="2"/>
      <c r="BR490" s="3"/>
      <c r="BS490" s="3"/>
    </row>
    <row r="491" ht="12.0" customHeight="1">
      <c r="A491" s="1"/>
      <c r="D491" s="2"/>
      <c r="E491" s="2"/>
      <c r="F491" s="2"/>
      <c r="G491" s="2"/>
      <c r="H491" s="2"/>
      <c r="BR491" s="3"/>
      <c r="BS491" s="3"/>
    </row>
    <row r="492" ht="12.0" customHeight="1">
      <c r="A492" s="1"/>
      <c r="D492" s="2"/>
      <c r="E492" s="2"/>
      <c r="F492" s="2"/>
      <c r="G492" s="2"/>
      <c r="H492" s="2"/>
      <c r="BR492" s="3"/>
      <c r="BS492" s="3"/>
    </row>
    <row r="493" ht="12.0" customHeight="1">
      <c r="A493" s="1"/>
      <c r="D493" s="2"/>
      <c r="E493" s="2"/>
      <c r="F493" s="2"/>
      <c r="G493" s="2"/>
      <c r="H493" s="2"/>
      <c r="BR493" s="3"/>
      <c r="BS493" s="3"/>
    </row>
    <row r="494" ht="12.0" customHeight="1">
      <c r="A494" s="1"/>
      <c r="D494" s="2"/>
      <c r="E494" s="2"/>
      <c r="F494" s="2"/>
      <c r="G494" s="2"/>
      <c r="H494" s="2"/>
      <c r="BR494" s="3"/>
      <c r="BS494" s="3"/>
    </row>
    <row r="495" ht="12.0" customHeight="1">
      <c r="A495" s="1"/>
      <c r="D495" s="2"/>
      <c r="E495" s="2"/>
      <c r="F495" s="2"/>
      <c r="G495" s="2"/>
      <c r="H495" s="2"/>
      <c r="BR495" s="3"/>
      <c r="BS495" s="3"/>
    </row>
    <row r="496" ht="12.0" customHeight="1">
      <c r="A496" s="1"/>
      <c r="D496" s="2"/>
      <c r="E496" s="2"/>
      <c r="F496" s="2"/>
      <c r="G496" s="2"/>
      <c r="H496" s="2"/>
      <c r="BR496" s="3"/>
      <c r="BS496" s="3"/>
    </row>
    <row r="497" ht="12.0" customHeight="1">
      <c r="A497" s="1"/>
      <c r="D497" s="2"/>
      <c r="E497" s="2"/>
      <c r="F497" s="2"/>
      <c r="G497" s="2"/>
      <c r="H497" s="2"/>
      <c r="BR497" s="3"/>
      <c r="BS497" s="3"/>
    </row>
    <row r="498" ht="12.0" customHeight="1">
      <c r="A498" s="1"/>
      <c r="D498" s="2"/>
      <c r="E498" s="2"/>
      <c r="F498" s="2"/>
      <c r="G498" s="2"/>
      <c r="H498" s="2"/>
      <c r="BR498" s="3"/>
      <c r="BS498" s="3"/>
    </row>
    <row r="499" ht="12.0" customHeight="1">
      <c r="A499" s="1"/>
      <c r="D499" s="2"/>
      <c r="E499" s="2"/>
      <c r="F499" s="2"/>
      <c r="G499" s="2"/>
      <c r="H499" s="2"/>
      <c r="BR499" s="3"/>
      <c r="BS499" s="3"/>
    </row>
    <row r="500" ht="12.0" customHeight="1">
      <c r="A500" s="1"/>
      <c r="D500" s="2"/>
      <c r="E500" s="2"/>
      <c r="F500" s="2"/>
      <c r="G500" s="2"/>
      <c r="H500" s="2"/>
      <c r="BR500" s="3"/>
      <c r="BS500" s="3"/>
    </row>
    <row r="501" ht="12.0" customHeight="1">
      <c r="A501" s="1"/>
      <c r="D501" s="2"/>
      <c r="E501" s="2"/>
      <c r="F501" s="2"/>
      <c r="G501" s="2"/>
      <c r="H501" s="2"/>
      <c r="BR501" s="3"/>
      <c r="BS501" s="3"/>
    </row>
    <row r="502" ht="12.0" customHeight="1">
      <c r="A502" s="1"/>
      <c r="D502" s="2"/>
      <c r="E502" s="2"/>
      <c r="F502" s="2"/>
      <c r="G502" s="2"/>
      <c r="H502" s="2"/>
      <c r="BR502" s="3"/>
      <c r="BS502" s="3"/>
    </row>
    <row r="503" ht="12.0" customHeight="1">
      <c r="A503" s="1"/>
      <c r="D503" s="2"/>
      <c r="E503" s="2"/>
      <c r="F503" s="2"/>
      <c r="G503" s="2"/>
      <c r="H503" s="2"/>
      <c r="BR503" s="3"/>
      <c r="BS503" s="3"/>
    </row>
    <row r="504" ht="12.0" customHeight="1">
      <c r="A504" s="1"/>
      <c r="D504" s="2"/>
      <c r="E504" s="2"/>
      <c r="F504" s="2"/>
      <c r="G504" s="2"/>
      <c r="H504" s="2"/>
      <c r="BR504" s="3"/>
      <c r="BS504" s="3"/>
    </row>
    <row r="505" ht="12.0" customHeight="1">
      <c r="A505" s="1"/>
      <c r="D505" s="2"/>
      <c r="E505" s="2"/>
      <c r="F505" s="2"/>
      <c r="G505" s="2"/>
      <c r="H505" s="2"/>
      <c r="BR505" s="3"/>
      <c r="BS505" s="3"/>
    </row>
    <row r="506" ht="12.0" customHeight="1">
      <c r="A506" s="1"/>
      <c r="D506" s="2"/>
      <c r="E506" s="2"/>
      <c r="F506" s="2"/>
      <c r="G506" s="2"/>
      <c r="H506" s="2"/>
      <c r="BR506" s="3"/>
      <c r="BS506" s="3"/>
    </row>
    <row r="507" ht="12.0" customHeight="1">
      <c r="A507" s="1"/>
      <c r="D507" s="2"/>
      <c r="E507" s="2"/>
      <c r="F507" s="2"/>
      <c r="G507" s="2"/>
      <c r="H507" s="2"/>
      <c r="BR507" s="3"/>
      <c r="BS507" s="3"/>
    </row>
    <row r="508" ht="12.0" customHeight="1">
      <c r="A508" s="1"/>
      <c r="D508" s="2"/>
      <c r="E508" s="2"/>
      <c r="F508" s="2"/>
      <c r="G508" s="2"/>
      <c r="H508" s="2"/>
      <c r="BR508" s="3"/>
      <c r="BS508" s="3"/>
    </row>
    <row r="509" ht="12.0" customHeight="1">
      <c r="A509" s="1"/>
      <c r="D509" s="2"/>
      <c r="E509" s="2"/>
      <c r="F509" s="2"/>
      <c r="G509" s="2"/>
      <c r="H509" s="2"/>
      <c r="BR509" s="3"/>
      <c r="BS509" s="3"/>
    </row>
    <row r="510" ht="12.0" customHeight="1">
      <c r="A510" s="1"/>
      <c r="D510" s="2"/>
      <c r="E510" s="2"/>
      <c r="F510" s="2"/>
      <c r="G510" s="2"/>
      <c r="H510" s="2"/>
      <c r="BR510" s="3"/>
      <c r="BS510" s="3"/>
    </row>
    <row r="511" ht="12.0" customHeight="1">
      <c r="A511" s="1"/>
      <c r="D511" s="2"/>
      <c r="E511" s="2"/>
      <c r="F511" s="2"/>
      <c r="G511" s="2"/>
      <c r="H511" s="2"/>
      <c r="BR511" s="3"/>
      <c r="BS511" s="3"/>
    </row>
    <row r="512" ht="12.0" customHeight="1">
      <c r="A512" s="1"/>
      <c r="D512" s="2"/>
      <c r="E512" s="2"/>
      <c r="F512" s="2"/>
      <c r="G512" s="2"/>
      <c r="H512" s="2"/>
      <c r="BR512" s="3"/>
      <c r="BS512" s="3"/>
    </row>
    <row r="513" ht="12.0" customHeight="1">
      <c r="A513" s="1"/>
      <c r="D513" s="2"/>
      <c r="E513" s="2"/>
      <c r="F513" s="2"/>
      <c r="G513" s="2"/>
      <c r="H513" s="2"/>
      <c r="BR513" s="3"/>
      <c r="BS513" s="3"/>
    </row>
    <row r="514" ht="12.0" customHeight="1">
      <c r="A514" s="1"/>
      <c r="D514" s="2"/>
      <c r="E514" s="2"/>
      <c r="F514" s="2"/>
      <c r="G514" s="2"/>
      <c r="H514" s="2"/>
      <c r="BR514" s="3"/>
      <c r="BS514" s="3"/>
    </row>
    <row r="515" ht="12.0" customHeight="1">
      <c r="A515" s="1"/>
      <c r="D515" s="2"/>
      <c r="E515" s="2"/>
      <c r="F515" s="2"/>
      <c r="G515" s="2"/>
      <c r="H515" s="2"/>
      <c r="BR515" s="3"/>
      <c r="BS515" s="3"/>
    </row>
    <row r="516" ht="12.0" customHeight="1">
      <c r="A516" s="1"/>
      <c r="D516" s="2"/>
      <c r="E516" s="2"/>
      <c r="F516" s="2"/>
      <c r="G516" s="2"/>
      <c r="H516" s="2"/>
      <c r="BR516" s="3"/>
      <c r="BS516" s="3"/>
    </row>
    <row r="517" ht="12.0" customHeight="1">
      <c r="A517" s="1"/>
      <c r="D517" s="2"/>
      <c r="E517" s="2"/>
      <c r="F517" s="2"/>
      <c r="G517" s="2"/>
      <c r="H517" s="2"/>
      <c r="BR517" s="3"/>
      <c r="BS517" s="3"/>
    </row>
    <row r="518" ht="12.0" customHeight="1">
      <c r="A518" s="1"/>
      <c r="D518" s="2"/>
      <c r="E518" s="2"/>
      <c r="F518" s="2"/>
      <c r="G518" s="2"/>
      <c r="H518" s="2"/>
      <c r="BR518" s="3"/>
      <c r="BS518" s="3"/>
    </row>
    <row r="519" ht="12.0" customHeight="1">
      <c r="A519" s="1"/>
      <c r="D519" s="2"/>
      <c r="E519" s="2"/>
      <c r="F519" s="2"/>
      <c r="G519" s="2"/>
      <c r="H519" s="2"/>
      <c r="BR519" s="3"/>
      <c r="BS519" s="3"/>
    </row>
    <row r="520" ht="12.0" customHeight="1">
      <c r="A520" s="1"/>
      <c r="D520" s="2"/>
      <c r="E520" s="2"/>
      <c r="F520" s="2"/>
      <c r="G520" s="2"/>
      <c r="H520" s="2"/>
      <c r="BR520" s="3"/>
      <c r="BS520" s="3"/>
    </row>
    <row r="521" ht="12.0" customHeight="1">
      <c r="A521" s="1"/>
      <c r="D521" s="2"/>
      <c r="E521" s="2"/>
      <c r="F521" s="2"/>
      <c r="G521" s="2"/>
      <c r="H521" s="2"/>
      <c r="BR521" s="3"/>
      <c r="BS521" s="3"/>
    </row>
    <row r="522" ht="12.0" customHeight="1">
      <c r="A522" s="1"/>
      <c r="D522" s="2"/>
      <c r="E522" s="2"/>
      <c r="F522" s="2"/>
      <c r="G522" s="2"/>
      <c r="H522" s="2"/>
      <c r="BR522" s="3"/>
      <c r="BS522" s="3"/>
    </row>
    <row r="523" ht="12.0" customHeight="1">
      <c r="A523" s="1"/>
      <c r="D523" s="2"/>
      <c r="E523" s="2"/>
      <c r="F523" s="2"/>
      <c r="G523" s="2"/>
      <c r="H523" s="2"/>
      <c r="BR523" s="3"/>
      <c r="BS523" s="3"/>
    </row>
    <row r="524" ht="12.0" customHeight="1">
      <c r="A524" s="1"/>
      <c r="D524" s="2"/>
      <c r="E524" s="2"/>
      <c r="F524" s="2"/>
      <c r="G524" s="2"/>
      <c r="H524" s="2"/>
      <c r="BR524" s="3"/>
      <c r="BS524" s="3"/>
    </row>
    <row r="525" ht="12.0" customHeight="1">
      <c r="A525" s="1"/>
      <c r="D525" s="2"/>
      <c r="E525" s="2"/>
      <c r="F525" s="2"/>
      <c r="G525" s="2"/>
      <c r="H525" s="2"/>
      <c r="BR525" s="3"/>
      <c r="BS525" s="3"/>
    </row>
    <row r="526" ht="12.0" customHeight="1">
      <c r="A526" s="1"/>
      <c r="D526" s="2"/>
      <c r="E526" s="2"/>
      <c r="F526" s="2"/>
      <c r="G526" s="2"/>
      <c r="H526" s="2"/>
      <c r="BR526" s="3"/>
      <c r="BS526" s="3"/>
    </row>
    <row r="527" ht="12.0" customHeight="1">
      <c r="A527" s="1"/>
      <c r="D527" s="2"/>
      <c r="E527" s="2"/>
      <c r="F527" s="2"/>
      <c r="G527" s="2"/>
      <c r="H527" s="2"/>
      <c r="BR527" s="3"/>
      <c r="BS527" s="3"/>
    </row>
    <row r="528" ht="12.0" customHeight="1">
      <c r="A528" s="1"/>
      <c r="D528" s="2"/>
      <c r="E528" s="2"/>
      <c r="F528" s="2"/>
      <c r="G528" s="2"/>
      <c r="H528" s="2"/>
      <c r="BR528" s="3"/>
      <c r="BS528" s="3"/>
    </row>
    <row r="529" ht="12.0" customHeight="1">
      <c r="A529" s="1"/>
      <c r="D529" s="2"/>
      <c r="E529" s="2"/>
      <c r="F529" s="2"/>
      <c r="G529" s="2"/>
      <c r="H529" s="2"/>
      <c r="BR529" s="3"/>
      <c r="BS529" s="3"/>
    </row>
    <row r="530" ht="12.0" customHeight="1">
      <c r="A530" s="1"/>
      <c r="D530" s="2"/>
      <c r="E530" s="2"/>
      <c r="F530" s="2"/>
      <c r="G530" s="2"/>
      <c r="H530" s="2"/>
      <c r="BR530" s="3"/>
      <c r="BS530" s="3"/>
    </row>
    <row r="531" ht="12.0" customHeight="1">
      <c r="A531" s="1"/>
      <c r="D531" s="2"/>
      <c r="E531" s="2"/>
      <c r="F531" s="2"/>
      <c r="G531" s="2"/>
      <c r="H531" s="2"/>
      <c r="BR531" s="3"/>
      <c r="BS531" s="3"/>
    </row>
    <row r="532" ht="12.0" customHeight="1">
      <c r="A532" s="1"/>
      <c r="D532" s="2"/>
      <c r="E532" s="2"/>
      <c r="F532" s="2"/>
      <c r="G532" s="2"/>
      <c r="H532" s="2"/>
      <c r="BR532" s="3"/>
      <c r="BS532" s="3"/>
    </row>
    <row r="533" ht="12.0" customHeight="1">
      <c r="A533" s="1"/>
      <c r="D533" s="2"/>
      <c r="E533" s="2"/>
      <c r="F533" s="2"/>
      <c r="G533" s="2"/>
      <c r="H533" s="2"/>
      <c r="BR533" s="3"/>
      <c r="BS533" s="3"/>
    </row>
    <row r="534" ht="12.0" customHeight="1">
      <c r="A534" s="1"/>
      <c r="D534" s="2"/>
      <c r="E534" s="2"/>
      <c r="F534" s="2"/>
      <c r="G534" s="2"/>
      <c r="H534" s="2"/>
      <c r="BR534" s="3"/>
      <c r="BS534" s="3"/>
    </row>
    <row r="535" ht="12.0" customHeight="1">
      <c r="A535" s="1"/>
      <c r="D535" s="2"/>
      <c r="E535" s="2"/>
      <c r="F535" s="2"/>
      <c r="G535" s="2"/>
      <c r="H535" s="2"/>
      <c r="BR535" s="3"/>
      <c r="BS535" s="3"/>
    </row>
    <row r="536" ht="12.0" customHeight="1">
      <c r="A536" s="1"/>
      <c r="D536" s="2"/>
      <c r="E536" s="2"/>
      <c r="F536" s="2"/>
      <c r="G536" s="2"/>
      <c r="H536" s="2"/>
      <c r="BR536" s="3"/>
      <c r="BS536" s="3"/>
    </row>
    <row r="537" ht="12.0" customHeight="1">
      <c r="A537" s="1"/>
      <c r="D537" s="2"/>
      <c r="E537" s="2"/>
      <c r="F537" s="2"/>
      <c r="G537" s="2"/>
      <c r="H537" s="2"/>
      <c r="BR537" s="3"/>
      <c r="BS537" s="3"/>
    </row>
    <row r="538" ht="12.0" customHeight="1">
      <c r="A538" s="1"/>
      <c r="D538" s="2"/>
      <c r="E538" s="2"/>
      <c r="F538" s="2"/>
      <c r="G538" s="2"/>
      <c r="H538" s="2"/>
      <c r="BR538" s="3"/>
      <c r="BS538" s="3"/>
    </row>
    <row r="539" ht="12.0" customHeight="1">
      <c r="A539" s="1"/>
      <c r="D539" s="2"/>
      <c r="E539" s="2"/>
      <c r="F539" s="2"/>
      <c r="G539" s="2"/>
      <c r="H539" s="2"/>
      <c r="BR539" s="3"/>
      <c r="BS539" s="3"/>
    </row>
    <row r="540" ht="12.0" customHeight="1">
      <c r="A540" s="1"/>
      <c r="D540" s="2"/>
      <c r="E540" s="2"/>
      <c r="F540" s="2"/>
      <c r="G540" s="2"/>
      <c r="H540" s="2"/>
      <c r="BR540" s="3"/>
      <c r="BS540" s="3"/>
    </row>
    <row r="541" ht="12.0" customHeight="1">
      <c r="A541" s="1"/>
      <c r="D541" s="2"/>
      <c r="E541" s="2"/>
      <c r="F541" s="2"/>
      <c r="G541" s="2"/>
      <c r="H541" s="2"/>
      <c r="BR541" s="3"/>
      <c r="BS541" s="3"/>
    </row>
    <row r="542" ht="12.0" customHeight="1">
      <c r="A542" s="1"/>
      <c r="D542" s="2"/>
      <c r="E542" s="2"/>
      <c r="F542" s="2"/>
      <c r="G542" s="2"/>
      <c r="H542" s="2"/>
      <c r="BR542" s="3"/>
      <c r="BS542" s="3"/>
    </row>
    <row r="543" ht="12.0" customHeight="1">
      <c r="A543" s="1"/>
      <c r="D543" s="2"/>
      <c r="E543" s="2"/>
      <c r="F543" s="2"/>
      <c r="G543" s="2"/>
      <c r="H543" s="2"/>
      <c r="BR543" s="3"/>
      <c r="BS543" s="3"/>
    </row>
    <row r="544" ht="12.0" customHeight="1">
      <c r="A544" s="1"/>
      <c r="D544" s="2"/>
      <c r="E544" s="2"/>
      <c r="F544" s="2"/>
      <c r="G544" s="2"/>
      <c r="H544" s="2"/>
      <c r="BR544" s="3"/>
      <c r="BS544" s="3"/>
    </row>
    <row r="545" ht="12.0" customHeight="1">
      <c r="A545" s="1"/>
      <c r="D545" s="2"/>
      <c r="E545" s="2"/>
      <c r="F545" s="2"/>
      <c r="G545" s="2"/>
      <c r="H545" s="2"/>
      <c r="BR545" s="3"/>
      <c r="BS545" s="3"/>
    </row>
    <row r="546" ht="12.0" customHeight="1">
      <c r="A546" s="1"/>
      <c r="D546" s="2"/>
      <c r="E546" s="2"/>
      <c r="F546" s="2"/>
      <c r="G546" s="2"/>
      <c r="H546" s="2"/>
      <c r="BR546" s="3"/>
      <c r="BS546" s="3"/>
    </row>
    <row r="547" ht="12.0" customHeight="1">
      <c r="A547" s="1"/>
      <c r="D547" s="2"/>
      <c r="E547" s="2"/>
      <c r="F547" s="2"/>
      <c r="G547" s="2"/>
      <c r="H547" s="2"/>
      <c r="BR547" s="3"/>
      <c r="BS547" s="3"/>
    </row>
    <row r="548" ht="12.0" customHeight="1">
      <c r="A548" s="1"/>
      <c r="D548" s="2"/>
      <c r="E548" s="2"/>
      <c r="F548" s="2"/>
      <c r="G548" s="2"/>
      <c r="H548" s="2"/>
      <c r="BR548" s="3"/>
      <c r="BS548" s="3"/>
    </row>
    <row r="549" ht="12.0" customHeight="1">
      <c r="A549" s="1"/>
      <c r="D549" s="2"/>
      <c r="E549" s="2"/>
      <c r="F549" s="2"/>
      <c r="G549" s="2"/>
      <c r="H549" s="2"/>
      <c r="BR549" s="3"/>
      <c r="BS549" s="3"/>
    </row>
    <row r="550" ht="12.0" customHeight="1">
      <c r="A550" s="1"/>
      <c r="D550" s="2"/>
      <c r="E550" s="2"/>
      <c r="F550" s="2"/>
      <c r="G550" s="2"/>
      <c r="H550" s="2"/>
      <c r="BR550" s="3"/>
      <c r="BS550" s="3"/>
    </row>
    <row r="551" ht="12.0" customHeight="1">
      <c r="A551" s="1"/>
      <c r="D551" s="2"/>
      <c r="E551" s="2"/>
      <c r="F551" s="2"/>
      <c r="G551" s="2"/>
      <c r="H551" s="2"/>
      <c r="BR551" s="3"/>
      <c r="BS551" s="3"/>
    </row>
    <row r="552" ht="12.0" customHeight="1">
      <c r="A552" s="1"/>
      <c r="D552" s="2"/>
      <c r="E552" s="2"/>
      <c r="F552" s="2"/>
      <c r="G552" s="2"/>
      <c r="H552" s="2"/>
      <c r="BR552" s="3"/>
      <c r="BS552" s="3"/>
    </row>
    <row r="553" ht="12.0" customHeight="1">
      <c r="A553" s="1"/>
      <c r="D553" s="2"/>
      <c r="E553" s="2"/>
      <c r="F553" s="2"/>
      <c r="G553" s="2"/>
      <c r="H553" s="2"/>
      <c r="BR553" s="3"/>
      <c r="BS553" s="3"/>
    </row>
    <row r="554" ht="12.0" customHeight="1">
      <c r="A554" s="1"/>
      <c r="D554" s="2"/>
      <c r="E554" s="2"/>
      <c r="F554" s="2"/>
      <c r="G554" s="2"/>
      <c r="H554" s="2"/>
      <c r="BR554" s="3"/>
      <c r="BS554" s="3"/>
    </row>
    <row r="555" ht="12.0" customHeight="1">
      <c r="A555" s="1"/>
      <c r="D555" s="2"/>
      <c r="E555" s="2"/>
      <c r="F555" s="2"/>
      <c r="G555" s="2"/>
      <c r="H555" s="2"/>
      <c r="BR555" s="3"/>
      <c r="BS555" s="3"/>
    </row>
    <row r="556" ht="12.0" customHeight="1">
      <c r="A556" s="1"/>
      <c r="D556" s="2"/>
      <c r="E556" s="2"/>
      <c r="F556" s="2"/>
      <c r="G556" s="2"/>
      <c r="H556" s="2"/>
      <c r="BR556" s="3"/>
      <c r="BS556" s="3"/>
    </row>
    <row r="557" ht="12.0" customHeight="1">
      <c r="A557" s="1"/>
      <c r="D557" s="2"/>
      <c r="E557" s="2"/>
      <c r="F557" s="2"/>
      <c r="G557" s="2"/>
      <c r="H557" s="2"/>
      <c r="BR557" s="3"/>
      <c r="BS557" s="3"/>
    </row>
    <row r="558" ht="12.0" customHeight="1">
      <c r="A558" s="1"/>
      <c r="D558" s="2"/>
      <c r="E558" s="2"/>
      <c r="F558" s="2"/>
      <c r="G558" s="2"/>
      <c r="H558" s="2"/>
      <c r="BR558" s="3"/>
      <c r="BS558" s="3"/>
    </row>
    <row r="559" ht="12.0" customHeight="1">
      <c r="A559" s="1"/>
      <c r="D559" s="2"/>
      <c r="E559" s="2"/>
      <c r="F559" s="2"/>
      <c r="G559" s="2"/>
      <c r="H559" s="2"/>
      <c r="BR559" s="3"/>
      <c r="BS559" s="3"/>
    </row>
    <row r="560" ht="12.0" customHeight="1">
      <c r="A560" s="1"/>
      <c r="D560" s="2"/>
      <c r="E560" s="2"/>
      <c r="F560" s="2"/>
      <c r="G560" s="2"/>
      <c r="H560" s="2"/>
      <c r="BR560" s="3"/>
      <c r="BS560" s="3"/>
    </row>
    <row r="561" ht="12.0" customHeight="1">
      <c r="A561" s="1"/>
      <c r="D561" s="2"/>
      <c r="E561" s="2"/>
      <c r="F561" s="2"/>
      <c r="G561" s="2"/>
      <c r="H561" s="2"/>
      <c r="BR561" s="3"/>
      <c r="BS561" s="3"/>
    </row>
    <row r="562" ht="12.0" customHeight="1">
      <c r="A562" s="1"/>
      <c r="D562" s="2"/>
      <c r="E562" s="2"/>
      <c r="F562" s="2"/>
      <c r="G562" s="2"/>
      <c r="H562" s="2"/>
      <c r="BR562" s="3"/>
      <c r="BS562" s="3"/>
    </row>
    <row r="563" ht="12.0" customHeight="1">
      <c r="A563" s="1"/>
      <c r="D563" s="2"/>
      <c r="E563" s="2"/>
      <c r="F563" s="2"/>
      <c r="G563" s="2"/>
      <c r="H563" s="2"/>
      <c r="BR563" s="3"/>
      <c r="BS563" s="3"/>
    </row>
    <row r="564" ht="12.0" customHeight="1">
      <c r="A564" s="1"/>
      <c r="D564" s="2"/>
      <c r="E564" s="2"/>
      <c r="F564" s="2"/>
      <c r="G564" s="2"/>
      <c r="H564" s="2"/>
      <c r="BR564" s="3"/>
      <c r="BS564" s="3"/>
    </row>
    <row r="565" ht="12.0" customHeight="1">
      <c r="A565" s="1"/>
      <c r="D565" s="2"/>
      <c r="E565" s="2"/>
      <c r="F565" s="2"/>
      <c r="G565" s="2"/>
      <c r="H565" s="2"/>
      <c r="BR565" s="3"/>
      <c r="BS565" s="3"/>
    </row>
    <row r="566" ht="12.0" customHeight="1">
      <c r="A566" s="1"/>
      <c r="D566" s="2"/>
      <c r="E566" s="2"/>
      <c r="F566" s="2"/>
      <c r="G566" s="2"/>
      <c r="H566" s="2"/>
      <c r="BR566" s="3"/>
      <c r="BS566" s="3"/>
    </row>
    <row r="567" ht="12.0" customHeight="1">
      <c r="A567" s="1"/>
      <c r="D567" s="2"/>
      <c r="E567" s="2"/>
      <c r="F567" s="2"/>
      <c r="G567" s="2"/>
      <c r="H567" s="2"/>
      <c r="BR567" s="3"/>
      <c r="BS567" s="3"/>
    </row>
    <row r="568" ht="12.0" customHeight="1">
      <c r="A568" s="1"/>
      <c r="D568" s="2"/>
      <c r="E568" s="2"/>
      <c r="F568" s="2"/>
      <c r="G568" s="2"/>
      <c r="H568" s="2"/>
      <c r="BR568" s="3"/>
      <c r="BS568" s="3"/>
    </row>
    <row r="569" ht="12.0" customHeight="1">
      <c r="A569" s="1"/>
      <c r="D569" s="2"/>
      <c r="E569" s="2"/>
      <c r="F569" s="2"/>
      <c r="G569" s="2"/>
      <c r="H569" s="2"/>
      <c r="BR569" s="3"/>
      <c r="BS569" s="3"/>
    </row>
    <row r="570" ht="12.0" customHeight="1">
      <c r="A570" s="1"/>
      <c r="D570" s="2"/>
      <c r="E570" s="2"/>
      <c r="F570" s="2"/>
      <c r="G570" s="2"/>
      <c r="H570" s="2"/>
      <c r="BR570" s="3"/>
      <c r="BS570" s="3"/>
    </row>
    <row r="571" ht="12.0" customHeight="1">
      <c r="A571" s="1"/>
      <c r="D571" s="2"/>
      <c r="E571" s="2"/>
      <c r="F571" s="2"/>
      <c r="G571" s="2"/>
      <c r="H571" s="2"/>
      <c r="BR571" s="3"/>
      <c r="BS571" s="3"/>
    </row>
    <row r="572" ht="12.0" customHeight="1">
      <c r="A572" s="1"/>
      <c r="D572" s="2"/>
      <c r="E572" s="2"/>
      <c r="F572" s="2"/>
      <c r="G572" s="2"/>
      <c r="H572" s="2"/>
      <c r="BR572" s="3"/>
      <c r="BS572" s="3"/>
    </row>
    <row r="573" ht="12.0" customHeight="1">
      <c r="A573" s="1"/>
      <c r="D573" s="2"/>
      <c r="E573" s="2"/>
      <c r="F573" s="2"/>
      <c r="G573" s="2"/>
      <c r="H573" s="2"/>
      <c r="BR573" s="3"/>
      <c r="BS573" s="3"/>
    </row>
    <row r="574" ht="12.0" customHeight="1">
      <c r="A574" s="1"/>
      <c r="D574" s="2"/>
      <c r="E574" s="2"/>
      <c r="F574" s="2"/>
      <c r="G574" s="2"/>
      <c r="H574" s="2"/>
      <c r="BR574" s="3"/>
      <c r="BS574" s="3"/>
    </row>
    <row r="575" ht="12.0" customHeight="1">
      <c r="A575" s="1"/>
      <c r="D575" s="2"/>
      <c r="E575" s="2"/>
      <c r="F575" s="2"/>
      <c r="G575" s="2"/>
      <c r="H575" s="2"/>
      <c r="BR575" s="3"/>
      <c r="BS575" s="3"/>
    </row>
    <row r="576" ht="12.0" customHeight="1">
      <c r="A576" s="1"/>
      <c r="D576" s="2"/>
      <c r="E576" s="2"/>
      <c r="F576" s="2"/>
      <c r="G576" s="2"/>
      <c r="H576" s="2"/>
      <c r="BR576" s="3"/>
      <c r="BS576" s="3"/>
    </row>
    <row r="577" ht="12.0" customHeight="1">
      <c r="A577" s="1"/>
      <c r="D577" s="2"/>
      <c r="E577" s="2"/>
      <c r="F577" s="2"/>
      <c r="G577" s="2"/>
      <c r="H577" s="2"/>
      <c r="BR577" s="3"/>
      <c r="BS577" s="3"/>
    </row>
    <row r="578" ht="12.0" customHeight="1">
      <c r="A578" s="1"/>
      <c r="D578" s="2"/>
      <c r="E578" s="2"/>
      <c r="F578" s="2"/>
      <c r="G578" s="2"/>
      <c r="H578" s="2"/>
      <c r="BR578" s="3"/>
      <c r="BS578" s="3"/>
    </row>
    <row r="579" ht="12.0" customHeight="1">
      <c r="A579" s="1"/>
      <c r="D579" s="2"/>
      <c r="E579" s="2"/>
      <c r="F579" s="2"/>
      <c r="G579" s="2"/>
      <c r="H579" s="2"/>
      <c r="BR579" s="3"/>
      <c r="BS579" s="3"/>
    </row>
    <row r="580" ht="12.0" customHeight="1">
      <c r="A580" s="1"/>
      <c r="D580" s="2"/>
      <c r="E580" s="2"/>
      <c r="F580" s="2"/>
      <c r="G580" s="2"/>
      <c r="H580" s="2"/>
      <c r="BR580" s="3"/>
      <c r="BS580" s="3"/>
    </row>
    <row r="581" ht="12.0" customHeight="1">
      <c r="A581" s="1"/>
      <c r="D581" s="2"/>
      <c r="E581" s="2"/>
      <c r="F581" s="2"/>
      <c r="G581" s="2"/>
      <c r="H581" s="2"/>
      <c r="BR581" s="3"/>
      <c r="BS581" s="3"/>
    </row>
    <row r="582" ht="12.0" customHeight="1">
      <c r="A582" s="1"/>
      <c r="D582" s="2"/>
      <c r="E582" s="2"/>
      <c r="F582" s="2"/>
      <c r="G582" s="2"/>
      <c r="H582" s="2"/>
      <c r="BR582" s="3"/>
      <c r="BS582" s="3"/>
    </row>
    <row r="583" ht="12.0" customHeight="1">
      <c r="A583" s="1"/>
      <c r="D583" s="2"/>
      <c r="E583" s="2"/>
      <c r="F583" s="2"/>
      <c r="G583" s="2"/>
      <c r="H583" s="2"/>
      <c r="BR583" s="3"/>
      <c r="BS583" s="3"/>
    </row>
    <row r="584" ht="12.0" customHeight="1">
      <c r="A584" s="1"/>
      <c r="D584" s="2"/>
      <c r="E584" s="2"/>
      <c r="F584" s="2"/>
      <c r="G584" s="2"/>
      <c r="H584" s="2"/>
      <c r="BR584" s="3"/>
      <c r="BS584" s="3"/>
    </row>
    <row r="585" ht="12.0" customHeight="1">
      <c r="A585" s="1"/>
      <c r="D585" s="2"/>
      <c r="E585" s="2"/>
      <c r="F585" s="2"/>
      <c r="G585" s="2"/>
      <c r="H585" s="2"/>
      <c r="BR585" s="3"/>
      <c r="BS585" s="3"/>
    </row>
    <row r="586" ht="12.0" customHeight="1">
      <c r="A586" s="1"/>
      <c r="D586" s="2"/>
      <c r="E586" s="2"/>
      <c r="F586" s="2"/>
      <c r="G586" s="2"/>
      <c r="H586" s="2"/>
      <c r="BR586" s="3"/>
      <c r="BS586" s="3"/>
    </row>
    <row r="587" ht="12.0" customHeight="1">
      <c r="A587" s="1"/>
      <c r="D587" s="2"/>
      <c r="E587" s="2"/>
      <c r="F587" s="2"/>
      <c r="G587" s="2"/>
      <c r="H587" s="2"/>
      <c r="BR587" s="3"/>
      <c r="BS587" s="3"/>
    </row>
    <row r="588" ht="12.0" customHeight="1">
      <c r="A588" s="1"/>
      <c r="D588" s="2"/>
      <c r="E588" s="2"/>
      <c r="F588" s="2"/>
      <c r="G588" s="2"/>
      <c r="H588" s="2"/>
      <c r="BR588" s="3"/>
      <c r="BS588" s="3"/>
    </row>
    <row r="589" ht="12.0" customHeight="1">
      <c r="A589" s="1"/>
      <c r="D589" s="2"/>
      <c r="E589" s="2"/>
      <c r="F589" s="2"/>
      <c r="G589" s="2"/>
      <c r="H589" s="2"/>
      <c r="BR589" s="3"/>
      <c r="BS589" s="3"/>
    </row>
    <row r="590" ht="12.0" customHeight="1">
      <c r="A590" s="1"/>
      <c r="D590" s="2"/>
      <c r="E590" s="2"/>
      <c r="F590" s="2"/>
      <c r="G590" s="2"/>
      <c r="H590" s="2"/>
      <c r="BR590" s="3"/>
      <c r="BS590" s="3"/>
    </row>
    <row r="591" ht="12.0" customHeight="1">
      <c r="A591" s="1"/>
      <c r="D591" s="2"/>
      <c r="E591" s="2"/>
      <c r="F591" s="2"/>
      <c r="G591" s="2"/>
      <c r="H591" s="2"/>
      <c r="BR591" s="3"/>
      <c r="BS591" s="3"/>
    </row>
    <row r="592" ht="12.0" customHeight="1">
      <c r="A592" s="1"/>
      <c r="D592" s="2"/>
      <c r="E592" s="2"/>
      <c r="F592" s="2"/>
      <c r="G592" s="2"/>
      <c r="H592" s="2"/>
      <c r="BR592" s="3"/>
      <c r="BS592" s="3"/>
    </row>
    <row r="593" ht="12.0" customHeight="1">
      <c r="A593" s="1"/>
      <c r="D593" s="2"/>
      <c r="E593" s="2"/>
      <c r="F593" s="2"/>
      <c r="G593" s="2"/>
      <c r="H593" s="2"/>
      <c r="BR593" s="3"/>
      <c r="BS593" s="3"/>
    </row>
    <row r="594" ht="12.0" customHeight="1">
      <c r="A594" s="1"/>
      <c r="D594" s="2"/>
      <c r="E594" s="2"/>
      <c r="F594" s="2"/>
      <c r="G594" s="2"/>
      <c r="H594" s="2"/>
      <c r="BR594" s="3"/>
      <c r="BS594" s="3"/>
    </row>
    <row r="595" ht="12.0" customHeight="1">
      <c r="A595" s="1"/>
      <c r="D595" s="2"/>
      <c r="E595" s="2"/>
      <c r="F595" s="2"/>
      <c r="G595" s="2"/>
      <c r="H595" s="2"/>
      <c r="BR595" s="3"/>
      <c r="BS595" s="3"/>
    </row>
    <row r="596" ht="12.0" customHeight="1">
      <c r="A596" s="1"/>
      <c r="D596" s="2"/>
      <c r="E596" s="2"/>
      <c r="F596" s="2"/>
      <c r="G596" s="2"/>
      <c r="H596" s="2"/>
      <c r="BR596" s="3"/>
      <c r="BS596" s="3"/>
    </row>
    <row r="597" ht="12.0" customHeight="1">
      <c r="A597" s="1"/>
      <c r="D597" s="2"/>
      <c r="E597" s="2"/>
      <c r="F597" s="2"/>
      <c r="G597" s="2"/>
      <c r="H597" s="2"/>
      <c r="BR597" s="3"/>
      <c r="BS597" s="3"/>
    </row>
    <row r="598" ht="12.0" customHeight="1">
      <c r="A598" s="1"/>
      <c r="D598" s="2"/>
      <c r="E598" s="2"/>
      <c r="F598" s="2"/>
      <c r="G598" s="2"/>
      <c r="H598" s="2"/>
      <c r="BR598" s="3"/>
      <c r="BS598" s="3"/>
    </row>
    <row r="599" ht="12.0" customHeight="1">
      <c r="A599" s="1"/>
      <c r="D599" s="2"/>
      <c r="E599" s="2"/>
      <c r="F599" s="2"/>
      <c r="G599" s="2"/>
      <c r="H599" s="2"/>
      <c r="BR599" s="3"/>
      <c r="BS599" s="3"/>
    </row>
    <row r="600" ht="12.0" customHeight="1">
      <c r="A600" s="1"/>
      <c r="D600" s="2"/>
      <c r="E600" s="2"/>
      <c r="F600" s="2"/>
      <c r="G600" s="2"/>
      <c r="H600" s="2"/>
      <c r="BR600" s="3"/>
      <c r="BS600" s="3"/>
    </row>
    <row r="601" ht="12.0" customHeight="1">
      <c r="A601" s="1"/>
      <c r="D601" s="2"/>
      <c r="E601" s="2"/>
      <c r="F601" s="2"/>
      <c r="G601" s="2"/>
      <c r="H601" s="2"/>
      <c r="BR601" s="3"/>
      <c r="BS601" s="3"/>
    </row>
    <row r="602" ht="12.0" customHeight="1">
      <c r="A602" s="1"/>
      <c r="D602" s="2"/>
      <c r="E602" s="2"/>
      <c r="F602" s="2"/>
      <c r="G602" s="2"/>
      <c r="H602" s="2"/>
      <c r="BR602" s="3"/>
      <c r="BS602" s="3"/>
    </row>
    <row r="603" ht="12.0" customHeight="1">
      <c r="A603" s="1"/>
      <c r="D603" s="2"/>
      <c r="E603" s="2"/>
      <c r="F603" s="2"/>
      <c r="G603" s="2"/>
      <c r="H603" s="2"/>
      <c r="BR603" s="3"/>
      <c r="BS603" s="3"/>
    </row>
    <row r="604" ht="12.0" customHeight="1">
      <c r="A604" s="1"/>
      <c r="D604" s="2"/>
      <c r="E604" s="2"/>
      <c r="F604" s="2"/>
      <c r="G604" s="2"/>
      <c r="H604" s="2"/>
      <c r="BR604" s="3"/>
      <c r="BS604" s="3"/>
    </row>
    <row r="605" ht="12.0" customHeight="1">
      <c r="A605" s="1"/>
      <c r="D605" s="2"/>
      <c r="E605" s="2"/>
      <c r="F605" s="2"/>
      <c r="G605" s="2"/>
      <c r="H605" s="2"/>
      <c r="BR605" s="3"/>
      <c r="BS605" s="3"/>
    </row>
    <row r="606" ht="12.0" customHeight="1">
      <c r="A606" s="1"/>
      <c r="D606" s="2"/>
      <c r="E606" s="2"/>
      <c r="F606" s="2"/>
      <c r="G606" s="2"/>
      <c r="H606" s="2"/>
      <c r="BR606" s="3"/>
      <c r="BS606" s="3"/>
    </row>
    <row r="607" ht="12.0" customHeight="1">
      <c r="A607" s="1"/>
      <c r="D607" s="2"/>
      <c r="E607" s="2"/>
      <c r="F607" s="2"/>
      <c r="G607" s="2"/>
      <c r="H607" s="2"/>
      <c r="BR607" s="3"/>
      <c r="BS607" s="3"/>
    </row>
    <row r="608" ht="12.0" customHeight="1">
      <c r="A608" s="1"/>
      <c r="D608" s="2"/>
      <c r="E608" s="2"/>
      <c r="F608" s="2"/>
      <c r="G608" s="2"/>
      <c r="H608" s="2"/>
      <c r="BR608" s="3"/>
      <c r="BS608" s="3"/>
    </row>
    <row r="609" ht="12.0" customHeight="1">
      <c r="A609" s="1"/>
      <c r="D609" s="2"/>
      <c r="E609" s="2"/>
      <c r="F609" s="2"/>
      <c r="G609" s="2"/>
      <c r="H609" s="2"/>
      <c r="BR609" s="3"/>
      <c r="BS609" s="3"/>
    </row>
    <row r="610" ht="12.0" customHeight="1">
      <c r="A610" s="1"/>
      <c r="D610" s="2"/>
      <c r="E610" s="2"/>
      <c r="F610" s="2"/>
      <c r="G610" s="2"/>
      <c r="H610" s="2"/>
      <c r="BR610" s="3"/>
      <c r="BS610" s="3"/>
    </row>
    <row r="611" ht="12.0" customHeight="1">
      <c r="A611" s="1"/>
      <c r="D611" s="2"/>
      <c r="E611" s="2"/>
      <c r="F611" s="2"/>
      <c r="G611" s="2"/>
      <c r="H611" s="2"/>
      <c r="BR611" s="3"/>
      <c r="BS611" s="3"/>
    </row>
    <row r="612" ht="12.0" customHeight="1">
      <c r="A612" s="1"/>
      <c r="D612" s="2"/>
      <c r="E612" s="2"/>
      <c r="F612" s="2"/>
      <c r="G612" s="2"/>
      <c r="H612" s="2"/>
      <c r="BR612" s="3"/>
      <c r="BS612" s="3"/>
    </row>
    <row r="613" ht="12.0" customHeight="1">
      <c r="A613" s="1"/>
      <c r="D613" s="2"/>
      <c r="E613" s="2"/>
      <c r="F613" s="2"/>
      <c r="G613" s="2"/>
      <c r="H613" s="2"/>
      <c r="BR613" s="3"/>
      <c r="BS613" s="3"/>
    </row>
    <row r="614" ht="12.0" customHeight="1">
      <c r="A614" s="1"/>
      <c r="D614" s="2"/>
      <c r="E614" s="2"/>
      <c r="F614" s="2"/>
      <c r="G614" s="2"/>
      <c r="H614" s="2"/>
      <c r="BR614" s="3"/>
      <c r="BS614" s="3"/>
    </row>
    <row r="615" ht="12.0" customHeight="1">
      <c r="A615" s="1"/>
      <c r="D615" s="2"/>
      <c r="E615" s="2"/>
      <c r="F615" s="2"/>
      <c r="G615" s="2"/>
      <c r="H615" s="2"/>
      <c r="BR615" s="3"/>
      <c r="BS615" s="3"/>
    </row>
    <row r="616" ht="12.0" customHeight="1">
      <c r="A616" s="1"/>
      <c r="D616" s="2"/>
      <c r="E616" s="2"/>
      <c r="F616" s="2"/>
      <c r="G616" s="2"/>
      <c r="H616" s="2"/>
      <c r="BR616" s="3"/>
      <c r="BS616" s="3"/>
    </row>
    <row r="617" ht="12.0" customHeight="1">
      <c r="A617" s="1"/>
      <c r="D617" s="2"/>
      <c r="E617" s="2"/>
      <c r="F617" s="2"/>
      <c r="G617" s="2"/>
      <c r="H617" s="2"/>
      <c r="BR617" s="3"/>
      <c r="BS617" s="3"/>
    </row>
    <row r="618" ht="12.0" customHeight="1">
      <c r="A618" s="1"/>
      <c r="D618" s="2"/>
      <c r="E618" s="2"/>
      <c r="F618" s="2"/>
      <c r="G618" s="2"/>
      <c r="H618" s="2"/>
      <c r="BR618" s="3"/>
      <c r="BS618" s="3"/>
    </row>
    <row r="619" ht="12.0" customHeight="1">
      <c r="A619" s="1"/>
      <c r="D619" s="2"/>
      <c r="E619" s="2"/>
      <c r="F619" s="2"/>
      <c r="G619" s="2"/>
      <c r="H619" s="2"/>
      <c r="BR619" s="3"/>
      <c r="BS619" s="3"/>
    </row>
    <row r="620" ht="12.0" customHeight="1">
      <c r="A620" s="1"/>
      <c r="D620" s="2"/>
      <c r="E620" s="2"/>
      <c r="F620" s="2"/>
      <c r="G620" s="2"/>
      <c r="H620" s="2"/>
      <c r="BR620" s="3"/>
      <c r="BS620" s="3"/>
    </row>
    <row r="621" ht="12.0" customHeight="1">
      <c r="A621" s="1"/>
      <c r="D621" s="2"/>
      <c r="E621" s="2"/>
      <c r="F621" s="2"/>
      <c r="G621" s="2"/>
      <c r="H621" s="2"/>
      <c r="BR621" s="3"/>
      <c r="BS621" s="3"/>
    </row>
    <row r="622" ht="12.0" customHeight="1">
      <c r="A622" s="1"/>
      <c r="D622" s="2"/>
      <c r="E622" s="2"/>
      <c r="F622" s="2"/>
      <c r="G622" s="2"/>
      <c r="H622" s="2"/>
      <c r="BR622" s="3"/>
      <c r="BS622" s="3"/>
    </row>
    <row r="623" ht="12.0" customHeight="1">
      <c r="A623" s="1"/>
      <c r="D623" s="2"/>
      <c r="E623" s="2"/>
      <c r="F623" s="2"/>
      <c r="G623" s="2"/>
      <c r="H623" s="2"/>
      <c r="BR623" s="3"/>
      <c r="BS623" s="3"/>
    </row>
    <row r="624" ht="12.0" customHeight="1">
      <c r="A624" s="1"/>
      <c r="D624" s="2"/>
      <c r="E624" s="2"/>
      <c r="F624" s="2"/>
      <c r="G624" s="2"/>
      <c r="H624" s="2"/>
      <c r="BR624" s="3"/>
      <c r="BS624" s="3"/>
    </row>
    <row r="625" ht="12.0" customHeight="1">
      <c r="A625" s="1"/>
      <c r="D625" s="2"/>
      <c r="E625" s="2"/>
      <c r="F625" s="2"/>
      <c r="G625" s="2"/>
      <c r="H625" s="2"/>
      <c r="BR625" s="3"/>
      <c r="BS625" s="3"/>
    </row>
    <row r="626" ht="12.0" customHeight="1">
      <c r="A626" s="1"/>
      <c r="D626" s="2"/>
      <c r="E626" s="2"/>
      <c r="F626" s="2"/>
      <c r="G626" s="2"/>
      <c r="H626" s="2"/>
      <c r="BR626" s="3"/>
      <c r="BS626" s="3"/>
    </row>
    <row r="627" ht="12.0" customHeight="1">
      <c r="A627" s="1"/>
      <c r="D627" s="2"/>
      <c r="E627" s="2"/>
      <c r="F627" s="2"/>
      <c r="G627" s="2"/>
      <c r="H627" s="2"/>
      <c r="BR627" s="3"/>
      <c r="BS627" s="3"/>
    </row>
    <row r="628" ht="12.0" customHeight="1">
      <c r="A628" s="1"/>
      <c r="D628" s="2"/>
      <c r="E628" s="2"/>
      <c r="F628" s="2"/>
      <c r="G628" s="2"/>
      <c r="H628" s="2"/>
      <c r="BR628" s="3"/>
      <c r="BS628" s="3"/>
    </row>
    <row r="629" ht="12.0" customHeight="1">
      <c r="A629" s="1"/>
      <c r="D629" s="2"/>
      <c r="E629" s="2"/>
      <c r="F629" s="2"/>
      <c r="G629" s="2"/>
      <c r="H629" s="2"/>
      <c r="BR629" s="3"/>
      <c r="BS629" s="3"/>
    </row>
    <row r="630" ht="12.0" customHeight="1">
      <c r="A630" s="1"/>
      <c r="D630" s="2"/>
      <c r="E630" s="2"/>
      <c r="F630" s="2"/>
      <c r="G630" s="2"/>
      <c r="H630" s="2"/>
      <c r="BR630" s="3"/>
      <c r="BS630" s="3"/>
    </row>
    <row r="631" ht="12.0" customHeight="1">
      <c r="A631" s="1"/>
      <c r="D631" s="2"/>
      <c r="E631" s="2"/>
      <c r="F631" s="2"/>
      <c r="G631" s="2"/>
      <c r="H631" s="2"/>
      <c r="BR631" s="3"/>
      <c r="BS631" s="3"/>
    </row>
    <row r="632" ht="12.0" customHeight="1">
      <c r="A632" s="1"/>
      <c r="D632" s="2"/>
      <c r="E632" s="2"/>
      <c r="F632" s="2"/>
      <c r="G632" s="2"/>
      <c r="H632" s="2"/>
      <c r="BR632" s="3"/>
      <c r="BS632" s="3"/>
    </row>
    <row r="633" ht="12.0" customHeight="1">
      <c r="A633" s="1"/>
      <c r="D633" s="2"/>
      <c r="E633" s="2"/>
      <c r="F633" s="2"/>
      <c r="G633" s="2"/>
      <c r="H633" s="2"/>
      <c r="BR633" s="3"/>
      <c r="BS633" s="3"/>
    </row>
    <row r="634" ht="12.0" customHeight="1">
      <c r="A634" s="1"/>
      <c r="D634" s="2"/>
      <c r="E634" s="2"/>
      <c r="F634" s="2"/>
      <c r="G634" s="2"/>
      <c r="H634" s="2"/>
      <c r="BR634" s="3"/>
      <c r="BS634" s="3"/>
    </row>
    <row r="635" ht="12.0" customHeight="1">
      <c r="A635" s="1"/>
      <c r="D635" s="2"/>
      <c r="E635" s="2"/>
      <c r="F635" s="2"/>
      <c r="G635" s="2"/>
      <c r="H635" s="2"/>
      <c r="BR635" s="3"/>
      <c r="BS635" s="3"/>
    </row>
    <row r="636" ht="12.0" customHeight="1">
      <c r="A636" s="1"/>
      <c r="D636" s="2"/>
      <c r="E636" s="2"/>
      <c r="F636" s="2"/>
      <c r="G636" s="2"/>
      <c r="H636" s="2"/>
      <c r="BR636" s="3"/>
      <c r="BS636" s="3"/>
    </row>
    <row r="637" ht="12.0" customHeight="1">
      <c r="A637" s="1"/>
      <c r="D637" s="2"/>
      <c r="E637" s="2"/>
      <c r="F637" s="2"/>
      <c r="G637" s="2"/>
      <c r="H637" s="2"/>
      <c r="BR637" s="3"/>
      <c r="BS637" s="3"/>
    </row>
    <row r="638" ht="12.0" customHeight="1">
      <c r="A638" s="1"/>
      <c r="D638" s="2"/>
      <c r="E638" s="2"/>
      <c r="F638" s="2"/>
      <c r="G638" s="2"/>
      <c r="H638" s="2"/>
      <c r="BR638" s="3"/>
      <c r="BS638" s="3"/>
    </row>
    <row r="639" ht="12.0" customHeight="1">
      <c r="A639" s="1"/>
      <c r="D639" s="2"/>
      <c r="E639" s="2"/>
      <c r="F639" s="2"/>
      <c r="G639" s="2"/>
      <c r="H639" s="2"/>
      <c r="BR639" s="3"/>
      <c r="BS639" s="3"/>
    </row>
    <row r="640" ht="12.0" customHeight="1">
      <c r="A640" s="1"/>
      <c r="D640" s="2"/>
      <c r="E640" s="2"/>
      <c r="F640" s="2"/>
      <c r="G640" s="2"/>
      <c r="H640" s="2"/>
      <c r="BR640" s="3"/>
      <c r="BS640" s="3"/>
    </row>
    <row r="641" ht="12.0" customHeight="1">
      <c r="A641" s="1"/>
      <c r="D641" s="2"/>
      <c r="E641" s="2"/>
      <c r="F641" s="2"/>
      <c r="G641" s="2"/>
      <c r="H641" s="2"/>
      <c r="BR641" s="3"/>
      <c r="BS641" s="3"/>
    </row>
    <row r="642" ht="12.0" customHeight="1">
      <c r="A642" s="1"/>
      <c r="D642" s="2"/>
      <c r="E642" s="2"/>
      <c r="F642" s="2"/>
      <c r="G642" s="2"/>
      <c r="H642" s="2"/>
      <c r="BR642" s="3"/>
      <c r="BS642" s="3"/>
    </row>
    <row r="643" ht="12.0" customHeight="1">
      <c r="A643" s="1"/>
      <c r="D643" s="2"/>
      <c r="E643" s="2"/>
      <c r="F643" s="2"/>
      <c r="G643" s="2"/>
      <c r="H643" s="2"/>
      <c r="BR643" s="3"/>
      <c r="BS643" s="3"/>
    </row>
    <row r="644" ht="12.0" customHeight="1">
      <c r="A644" s="1"/>
      <c r="D644" s="2"/>
      <c r="E644" s="2"/>
      <c r="F644" s="2"/>
      <c r="G644" s="2"/>
      <c r="H644" s="2"/>
      <c r="BR644" s="3"/>
      <c r="BS644" s="3"/>
    </row>
    <row r="645" ht="12.0" customHeight="1">
      <c r="A645" s="1"/>
      <c r="D645" s="2"/>
      <c r="E645" s="2"/>
      <c r="F645" s="2"/>
      <c r="G645" s="2"/>
      <c r="H645" s="2"/>
      <c r="BR645" s="3"/>
      <c r="BS645" s="3"/>
    </row>
    <row r="646" ht="12.0" customHeight="1">
      <c r="A646" s="1"/>
      <c r="D646" s="2"/>
      <c r="E646" s="2"/>
      <c r="F646" s="2"/>
      <c r="G646" s="2"/>
      <c r="H646" s="2"/>
      <c r="BR646" s="3"/>
      <c r="BS646" s="3"/>
    </row>
    <row r="647" ht="12.0" customHeight="1">
      <c r="A647" s="1"/>
      <c r="D647" s="2"/>
      <c r="E647" s="2"/>
      <c r="F647" s="2"/>
      <c r="G647" s="2"/>
      <c r="H647" s="2"/>
      <c r="BR647" s="3"/>
      <c r="BS647" s="3"/>
    </row>
    <row r="648" ht="12.0" customHeight="1">
      <c r="A648" s="1"/>
      <c r="D648" s="2"/>
      <c r="E648" s="2"/>
      <c r="F648" s="2"/>
      <c r="G648" s="2"/>
      <c r="H648" s="2"/>
      <c r="BR648" s="3"/>
      <c r="BS648" s="3"/>
    </row>
    <row r="649" ht="12.0" customHeight="1">
      <c r="A649" s="1"/>
      <c r="D649" s="2"/>
      <c r="E649" s="2"/>
      <c r="F649" s="2"/>
      <c r="G649" s="2"/>
      <c r="H649" s="2"/>
      <c r="BR649" s="3"/>
      <c r="BS649" s="3"/>
    </row>
    <row r="650" ht="12.0" customHeight="1">
      <c r="A650" s="1"/>
      <c r="D650" s="2"/>
      <c r="E650" s="2"/>
      <c r="F650" s="2"/>
      <c r="G650" s="2"/>
      <c r="H650" s="2"/>
      <c r="BR650" s="3"/>
      <c r="BS650" s="3"/>
    </row>
    <row r="651" ht="12.0" customHeight="1">
      <c r="A651" s="1"/>
      <c r="D651" s="2"/>
      <c r="E651" s="2"/>
      <c r="F651" s="2"/>
      <c r="G651" s="2"/>
      <c r="H651" s="2"/>
      <c r="BR651" s="3"/>
      <c r="BS651" s="3"/>
    </row>
    <row r="652" ht="12.0" customHeight="1">
      <c r="A652" s="1"/>
      <c r="D652" s="2"/>
      <c r="E652" s="2"/>
      <c r="F652" s="2"/>
      <c r="G652" s="2"/>
      <c r="H652" s="2"/>
      <c r="BR652" s="3"/>
      <c r="BS652" s="3"/>
    </row>
    <row r="653" ht="12.0" customHeight="1">
      <c r="A653" s="1"/>
      <c r="D653" s="2"/>
      <c r="E653" s="2"/>
      <c r="F653" s="2"/>
      <c r="G653" s="2"/>
      <c r="H653" s="2"/>
      <c r="BR653" s="3"/>
      <c r="BS653" s="3"/>
    </row>
    <row r="654" ht="12.0" customHeight="1">
      <c r="A654" s="1"/>
      <c r="D654" s="2"/>
      <c r="E654" s="2"/>
      <c r="F654" s="2"/>
      <c r="G654" s="2"/>
      <c r="H654" s="2"/>
      <c r="BR654" s="3"/>
      <c r="BS654" s="3"/>
    </row>
    <row r="655" ht="12.0" customHeight="1">
      <c r="A655" s="1"/>
      <c r="D655" s="2"/>
      <c r="E655" s="2"/>
      <c r="F655" s="2"/>
      <c r="G655" s="2"/>
      <c r="H655" s="2"/>
      <c r="BR655" s="3"/>
      <c r="BS655" s="3"/>
    </row>
    <row r="656" ht="12.0" customHeight="1">
      <c r="A656" s="1"/>
      <c r="D656" s="2"/>
      <c r="E656" s="2"/>
      <c r="F656" s="2"/>
      <c r="G656" s="2"/>
      <c r="H656" s="2"/>
      <c r="BR656" s="3"/>
      <c r="BS656" s="3"/>
    </row>
    <row r="657" ht="12.0" customHeight="1">
      <c r="A657" s="1"/>
      <c r="D657" s="2"/>
      <c r="E657" s="2"/>
      <c r="F657" s="2"/>
      <c r="G657" s="2"/>
      <c r="H657" s="2"/>
      <c r="BR657" s="3"/>
      <c r="BS657" s="3"/>
    </row>
    <row r="658" ht="12.0" customHeight="1">
      <c r="A658" s="1"/>
      <c r="D658" s="2"/>
      <c r="E658" s="2"/>
      <c r="F658" s="2"/>
      <c r="G658" s="2"/>
      <c r="H658" s="2"/>
      <c r="BR658" s="3"/>
      <c r="BS658" s="3"/>
    </row>
    <row r="659" ht="12.0" customHeight="1">
      <c r="A659" s="1"/>
      <c r="D659" s="2"/>
      <c r="E659" s="2"/>
      <c r="F659" s="2"/>
      <c r="G659" s="2"/>
      <c r="H659" s="2"/>
      <c r="BR659" s="3"/>
      <c r="BS659" s="3"/>
    </row>
    <row r="660" ht="12.0" customHeight="1">
      <c r="A660" s="1"/>
      <c r="D660" s="2"/>
      <c r="E660" s="2"/>
      <c r="F660" s="2"/>
      <c r="G660" s="2"/>
      <c r="H660" s="2"/>
      <c r="BR660" s="3"/>
      <c r="BS660" s="3"/>
    </row>
    <row r="661" ht="12.0" customHeight="1">
      <c r="A661" s="1"/>
      <c r="D661" s="2"/>
      <c r="E661" s="2"/>
      <c r="F661" s="2"/>
      <c r="G661" s="2"/>
      <c r="H661" s="2"/>
      <c r="BR661" s="3"/>
      <c r="BS661" s="3"/>
    </row>
    <row r="662" ht="12.0" customHeight="1">
      <c r="A662" s="1"/>
      <c r="D662" s="2"/>
      <c r="E662" s="2"/>
      <c r="F662" s="2"/>
      <c r="G662" s="2"/>
      <c r="H662" s="2"/>
      <c r="BR662" s="3"/>
      <c r="BS662" s="3"/>
    </row>
    <row r="663" ht="12.0" customHeight="1">
      <c r="A663" s="1"/>
      <c r="D663" s="2"/>
      <c r="E663" s="2"/>
      <c r="F663" s="2"/>
      <c r="G663" s="2"/>
      <c r="H663" s="2"/>
      <c r="BR663" s="3"/>
      <c r="BS663" s="3"/>
    </row>
    <row r="664" ht="12.0" customHeight="1">
      <c r="A664" s="1"/>
      <c r="D664" s="2"/>
      <c r="E664" s="2"/>
      <c r="F664" s="2"/>
      <c r="G664" s="2"/>
      <c r="H664" s="2"/>
      <c r="BR664" s="3"/>
      <c r="BS664" s="3"/>
    </row>
    <row r="665" ht="12.0" customHeight="1">
      <c r="A665" s="1"/>
      <c r="D665" s="2"/>
      <c r="E665" s="2"/>
      <c r="F665" s="2"/>
      <c r="G665" s="2"/>
      <c r="H665" s="2"/>
      <c r="BR665" s="3"/>
      <c r="BS665" s="3"/>
    </row>
    <row r="666" ht="12.0" customHeight="1">
      <c r="A666" s="1"/>
      <c r="D666" s="2"/>
      <c r="E666" s="2"/>
      <c r="F666" s="2"/>
      <c r="G666" s="2"/>
      <c r="H666" s="2"/>
      <c r="BR666" s="3"/>
      <c r="BS666" s="3"/>
    </row>
    <row r="667" ht="12.0" customHeight="1">
      <c r="A667" s="1"/>
      <c r="D667" s="2"/>
      <c r="E667" s="2"/>
      <c r="F667" s="2"/>
      <c r="G667" s="2"/>
      <c r="H667" s="2"/>
      <c r="BR667" s="3"/>
      <c r="BS667" s="3"/>
    </row>
    <row r="668" ht="12.0" customHeight="1">
      <c r="A668" s="1"/>
      <c r="D668" s="2"/>
      <c r="E668" s="2"/>
      <c r="F668" s="2"/>
      <c r="G668" s="2"/>
      <c r="H668" s="2"/>
      <c r="BR668" s="3"/>
      <c r="BS668" s="3"/>
    </row>
    <row r="669" ht="12.0" customHeight="1">
      <c r="A669" s="1"/>
      <c r="D669" s="2"/>
      <c r="E669" s="2"/>
      <c r="F669" s="2"/>
      <c r="G669" s="2"/>
      <c r="H669" s="2"/>
      <c r="BR669" s="3"/>
      <c r="BS669" s="3"/>
    </row>
    <row r="670" ht="12.0" customHeight="1">
      <c r="A670" s="1"/>
      <c r="D670" s="2"/>
      <c r="E670" s="2"/>
      <c r="F670" s="2"/>
      <c r="G670" s="2"/>
      <c r="H670" s="2"/>
      <c r="BR670" s="3"/>
      <c r="BS670" s="3"/>
    </row>
    <row r="671" ht="12.0" customHeight="1">
      <c r="A671" s="1"/>
      <c r="D671" s="2"/>
      <c r="E671" s="2"/>
      <c r="F671" s="2"/>
      <c r="G671" s="2"/>
      <c r="H671" s="2"/>
      <c r="BR671" s="3"/>
      <c r="BS671" s="3"/>
    </row>
    <row r="672" ht="12.0" customHeight="1">
      <c r="A672" s="1"/>
      <c r="D672" s="2"/>
      <c r="E672" s="2"/>
      <c r="F672" s="2"/>
      <c r="G672" s="2"/>
      <c r="H672" s="2"/>
      <c r="BR672" s="3"/>
      <c r="BS672" s="3"/>
    </row>
    <row r="673" ht="12.0" customHeight="1">
      <c r="A673" s="1"/>
      <c r="D673" s="2"/>
      <c r="E673" s="2"/>
      <c r="F673" s="2"/>
      <c r="G673" s="2"/>
      <c r="H673" s="2"/>
      <c r="BR673" s="3"/>
      <c r="BS673" s="3"/>
    </row>
    <row r="674" ht="12.0" customHeight="1">
      <c r="A674" s="1"/>
      <c r="D674" s="2"/>
      <c r="E674" s="2"/>
      <c r="F674" s="2"/>
      <c r="G674" s="2"/>
      <c r="H674" s="2"/>
      <c r="BR674" s="3"/>
      <c r="BS674" s="3"/>
    </row>
    <row r="675" ht="12.0" customHeight="1">
      <c r="A675" s="1"/>
      <c r="D675" s="2"/>
      <c r="E675" s="2"/>
      <c r="F675" s="2"/>
      <c r="G675" s="2"/>
      <c r="H675" s="2"/>
      <c r="BR675" s="3"/>
      <c r="BS675" s="3"/>
    </row>
    <row r="676" ht="12.0" customHeight="1">
      <c r="A676" s="1"/>
      <c r="D676" s="2"/>
      <c r="E676" s="2"/>
      <c r="F676" s="2"/>
      <c r="G676" s="2"/>
      <c r="H676" s="2"/>
      <c r="BR676" s="3"/>
      <c r="BS676" s="3"/>
    </row>
    <row r="677" ht="12.0" customHeight="1">
      <c r="A677" s="1"/>
      <c r="D677" s="2"/>
      <c r="E677" s="2"/>
      <c r="F677" s="2"/>
      <c r="G677" s="2"/>
      <c r="H677" s="2"/>
      <c r="BR677" s="3"/>
      <c r="BS677" s="3"/>
    </row>
    <row r="678" ht="12.0" customHeight="1">
      <c r="A678" s="1"/>
      <c r="D678" s="2"/>
      <c r="E678" s="2"/>
      <c r="F678" s="2"/>
      <c r="G678" s="2"/>
      <c r="H678" s="2"/>
      <c r="BR678" s="3"/>
      <c r="BS678" s="3"/>
    </row>
    <row r="679" ht="12.0" customHeight="1">
      <c r="A679" s="1"/>
      <c r="D679" s="2"/>
      <c r="E679" s="2"/>
      <c r="F679" s="2"/>
      <c r="G679" s="2"/>
      <c r="H679" s="2"/>
      <c r="BR679" s="3"/>
      <c r="BS679" s="3"/>
    </row>
    <row r="680" ht="12.0" customHeight="1">
      <c r="A680" s="1"/>
      <c r="D680" s="2"/>
      <c r="E680" s="2"/>
      <c r="F680" s="2"/>
      <c r="G680" s="2"/>
      <c r="H680" s="2"/>
      <c r="BR680" s="3"/>
      <c r="BS680" s="3"/>
    </row>
    <row r="681" ht="12.0" customHeight="1">
      <c r="A681" s="1"/>
      <c r="D681" s="2"/>
      <c r="E681" s="2"/>
      <c r="F681" s="2"/>
      <c r="G681" s="2"/>
      <c r="H681" s="2"/>
      <c r="BR681" s="3"/>
      <c r="BS681" s="3"/>
    </row>
    <row r="682" ht="12.0" customHeight="1">
      <c r="A682" s="1"/>
      <c r="D682" s="2"/>
      <c r="E682" s="2"/>
      <c r="F682" s="2"/>
      <c r="G682" s="2"/>
      <c r="H682" s="2"/>
      <c r="BR682" s="3"/>
      <c r="BS682" s="3"/>
    </row>
    <row r="683" ht="12.0" customHeight="1">
      <c r="A683" s="1"/>
      <c r="D683" s="2"/>
      <c r="E683" s="2"/>
      <c r="F683" s="2"/>
      <c r="G683" s="2"/>
      <c r="H683" s="2"/>
      <c r="BR683" s="3"/>
      <c r="BS683" s="3"/>
    </row>
    <row r="684" ht="12.0" customHeight="1">
      <c r="A684" s="1"/>
      <c r="D684" s="2"/>
      <c r="E684" s="2"/>
      <c r="F684" s="2"/>
      <c r="G684" s="2"/>
      <c r="H684" s="2"/>
      <c r="BR684" s="3"/>
      <c r="BS684" s="3"/>
    </row>
    <row r="685" ht="12.0" customHeight="1">
      <c r="A685" s="1"/>
      <c r="D685" s="2"/>
      <c r="E685" s="2"/>
      <c r="F685" s="2"/>
      <c r="G685" s="2"/>
      <c r="H685" s="2"/>
      <c r="BR685" s="3"/>
      <c r="BS685" s="3"/>
    </row>
    <row r="686" ht="12.0" customHeight="1">
      <c r="A686" s="1"/>
      <c r="D686" s="2"/>
      <c r="E686" s="2"/>
      <c r="F686" s="2"/>
      <c r="G686" s="2"/>
      <c r="H686" s="2"/>
      <c r="BR686" s="3"/>
      <c r="BS686" s="3"/>
    </row>
    <row r="687" ht="12.0" customHeight="1">
      <c r="A687" s="1"/>
      <c r="D687" s="2"/>
      <c r="E687" s="2"/>
      <c r="F687" s="2"/>
      <c r="G687" s="2"/>
      <c r="H687" s="2"/>
      <c r="BR687" s="3"/>
      <c r="BS687" s="3"/>
    </row>
    <row r="688" ht="12.0" customHeight="1">
      <c r="A688" s="1"/>
      <c r="D688" s="2"/>
      <c r="E688" s="2"/>
      <c r="F688" s="2"/>
      <c r="G688" s="2"/>
      <c r="H688" s="2"/>
      <c r="BR688" s="3"/>
      <c r="BS688" s="3"/>
    </row>
    <row r="689" ht="12.0" customHeight="1">
      <c r="A689" s="1"/>
      <c r="D689" s="2"/>
      <c r="E689" s="2"/>
      <c r="F689" s="2"/>
      <c r="G689" s="2"/>
      <c r="H689" s="2"/>
      <c r="BR689" s="3"/>
      <c r="BS689" s="3"/>
    </row>
    <row r="690" ht="12.0" customHeight="1">
      <c r="A690" s="1"/>
      <c r="D690" s="2"/>
      <c r="E690" s="2"/>
      <c r="F690" s="2"/>
      <c r="G690" s="2"/>
      <c r="H690" s="2"/>
      <c r="BR690" s="3"/>
      <c r="BS690" s="3"/>
    </row>
    <row r="691" ht="12.0" customHeight="1">
      <c r="A691" s="1"/>
      <c r="D691" s="2"/>
      <c r="E691" s="2"/>
      <c r="F691" s="2"/>
      <c r="G691" s="2"/>
      <c r="H691" s="2"/>
      <c r="BR691" s="3"/>
      <c r="BS691" s="3"/>
    </row>
    <row r="692" ht="12.0" customHeight="1">
      <c r="A692" s="1"/>
      <c r="D692" s="2"/>
      <c r="E692" s="2"/>
      <c r="F692" s="2"/>
      <c r="G692" s="2"/>
      <c r="H692" s="2"/>
      <c r="BR692" s="3"/>
      <c r="BS692" s="3"/>
    </row>
    <row r="693" ht="12.0" customHeight="1">
      <c r="A693" s="1"/>
      <c r="D693" s="2"/>
      <c r="E693" s="2"/>
      <c r="F693" s="2"/>
      <c r="G693" s="2"/>
      <c r="H693" s="2"/>
      <c r="BR693" s="3"/>
      <c r="BS693" s="3"/>
    </row>
    <row r="694" ht="12.0" customHeight="1">
      <c r="A694" s="1"/>
      <c r="D694" s="2"/>
      <c r="E694" s="2"/>
      <c r="F694" s="2"/>
      <c r="G694" s="2"/>
      <c r="H694" s="2"/>
      <c r="BR694" s="3"/>
      <c r="BS694" s="3"/>
    </row>
    <row r="695" ht="12.0" customHeight="1">
      <c r="A695" s="1"/>
      <c r="D695" s="2"/>
      <c r="E695" s="2"/>
      <c r="F695" s="2"/>
      <c r="G695" s="2"/>
      <c r="H695" s="2"/>
      <c r="BR695" s="3"/>
      <c r="BS695" s="3"/>
    </row>
    <row r="696" ht="12.0" customHeight="1">
      <c r="A696" s="1"/>
      <c r="D696" s="2"/>
      <c r="E696" s="2"/>
      <c r="F696" s="2"/>
      <c r="G696" s="2"/>
      <c r="H696" s="2"/>
      <c r="BR696" s="3"/>
      <c r="BS696" s="3"/>
    </row>
    <row r="697" ht="12.0" customHeight="1">
      <c r="A697" s="1"/>
      <c r="D697" s="2"/>
      <c r="E697" s="2"/>
      <c r="F697" s="2"/>
      <c r="G697" s="2"/>
      <c r="H697" s="2"/>
      <c r="BR697" s="3"/>
      <c r="BS697" s="3"/>
    </row>
    <row r="698" ht="12.0" customHeight="1">
      <c r="A698" s="1"/>
      <c r="D698" s="2"/>
      <c r="E698" s="2"/>
      <c r="F698" s="2"/>
      <c r="G698" s="2"/>
      <c r="H698" s="2"/>
      <c r="BR698" s="3"/>
      <c r="BS698" s="3"/>
    </row>
    <row r="699" ht="12.0" customHeight="1">
      <c r="A699" s="1"/>
      <c r="D699" s="2"/>
      <c r="E699" s="2"/>
      <c r="F699" s="2"/>
      <c r="G699" s="2"/>
      <c r="H699" s="2"/>
      <c r="BR699" s="3"/>
      <c r="BS699" s="3"/>
    </row>
    <row r="700" ht="12.0" customHeight="1">
      <c r="A700" s="1"/>
      <c r="D700" s="2"/>
      <c r="E700" s="2"/>
      <c r="F700" s="2"/>
      <c r="G700" s="2"/>
      <c r="H700" s="2"/>
      <c r="BR700" s="3"/>
      <c r="BS700" s="3"/>
    </row>
    <row r="701" ht="12.0" customHeight="1">
      <c r="A701" s="1"/>
      <c r="D701" s="2"/>
      <c r="E701" s="2"/>
      <c r="F701" s="2"/>
      <c r="G701" s="2"/>
      <c r="H701" s="2"/>
      <c r="BR701" s="3"/>
      <c r="BS701" s="3"/>
    </row>
    <row r="702" ht="12.0" customHeight="1">
      <c r="A702" s="1"/>
      <c r="D702" s="2"/>
      <c r="E702" s="2"/>
      <c r="F702" s="2"/>
      <c r="G702" s="2"/>
      <c r="H702" s="2"/>
      <c r="BR702" s="3"/>
      <c r="BS702" s="3"/>
    </row>
    <row r="703" ht="12.0" customHeight="1">
      <c r="A703" s="1"/>
      <c r="D703" s="2"/>
      <c r="E703" s="2"/>
      <c r="F703" s="2"/>
      <c r="G703" s="2"/>
      <c r="H703" s="2"/>
      <c r="BR703" s="3"/>
      <c r="BS703" s="3"/>
    </row>
    <row r="704" ht="12.0" customHeight="1">
      <c r="A704" s="1"/>
      <c r="D704" s="2"/>
      <c r="E704" s="2"/>
      <c r="F704" s="2"/>
      <c r="G704" s="2"/>
      <c r="H704" s="2"/>
      <c r="BR704" s="3"/>
      <c r="BS704" s="3"/>
    </row>
    <row r="705" ht="12.0" customHeight="1">
      <c r="A705" s="1"/>
      <c r="D705" s="2"/>
      <c r="E705" s="2"/>
      <c r="F705" s="2"/>
      <c r="G705" s="2"/>
      <c r="H705" s="2"/>
      <c r="BR705" s="3"/>
      <c r="BS705" s="3"/>
    </row>
    <row r="706" ht="12.0" customHeight="1">
      <c r="A706" s="1"/>
      <c r="D706" s="2"/>
      <c r="E706" s="2"/>
      <c r="F706" s="2"/>
      <c r="G706" s="2"/>
      <c r="H706" s="2"/>
      <c r="BR706" s="3"/>
      <c r="BS706" s="3"/>
    </row>
    <row r="707" ht="12.0" customHeight="1">
      <c r="A707" s="1"/>
      <c r="D707" s="2"/>
      <c r="E707" s="2"/>
      <c r="F707" s="2"/>
      <c r="G707" s="2"/>
      <c r="H707" s="2"/>
      <c r="BR707" s="3"/>
      <c r="BS707" s="3"/>
    </row>
    <row r="708" ht="12.0" customHeight="1">
      <c r="A708" s="1"/>
      <c r="D708" s="2"/>
      <c r="E708" s="2"/>
      <c r="F708" s="2"/>
      <c r="G708" s="2"/>
      <c r="H708" s="2"/>
      <c r="BR708" s="3"/>
      <c r="BS708" s="3"/>
    </row>
    <row r="709" ht="12.0" customHeight="1">
      <c r="A709" s="1"/>
      <c r="D709" s="2"/>
      <c r="E709" s="2"/>
      <c r="F709" s="2"/>
      <c r="G709" s="2"/>
      <c r="H709" s="2"/>
      <c r="BR709" s="3"/>
      <c r="BS709" s="3"/>
    </row>
    <row r="710" ht="12.0" customHeight="1">
      <c r="A710" s="1"/>
      <c r="D710" s="2"/>
      <c r="E710" s="2"/>
      <c r="F710" s="2"/>
      <c r="G710" s="2"/>
      <c r="H710" s="2"/>
      <c r="BR710" s="3"/>
      <c r="BS710" s="3"/>
    </row>
    <row r="711" ht="12.0" customHeight="1">
      <c r="A711" s="1"/>
      <c r="D711" s="2"/>
      <c r="E711" s="2"/>
      <c r="F711" s="2"/>
      <c r="G711" s="2"/>
      <c r="H711" s="2"/>
      <c r="BR711" s="3"/>
      <c r="BS711" s="3"/>
    </row>
    <row r="712" ht="12.0" customHeight="1">
      <c r="A712" s="1"/>
      <c r="D712" s="2"/>
      <c r="E712" s="2"/>
      <c r="F712" s="2"/>
      <c r="G712" s="2"/>
      <c r="H712" s="2"/>
      <c r="BR712" s="3"/>
      <c r="BS712" s="3"/>
    </row>
    <row r="713" ht="12.0" customHeight="1">
      <c r="A713" s="1"/>
      <c r="D713" s="2"/>
      <c r="E713" s="2"/>
      <c r="F713" s="2"/>
      <c r="G713" s="2"/>
      <c r="H713" s="2"/>
      <c r="BR713" s="3"/>
      <c r="BS713" s="3"/>
    </row>
    <row r="714" ht="12.0" customHeight="1">
      <c r="A714" s="1"/>
      <c r="D714" s="2"/>
      <c r="E714" s="2"/>
      <c r="F714" s="2"/>
      <c r="G714" s="2"/>
      <c r="H714" s="2"/>
      <c r="BR714" s="3"/>
      <c r="BS714" s="3"/>
    </row>
    <row r="715" ht="12.0" customHeight="1">
      <c r="A715" s="1"/>
      <c r="D715" s="2"/>
      <c r="E715" s="2"/>
      <c r="F715" s="2"/>
      <c r="G715" s="2"/>
      <c r="H715" s="2"/>
      <c r="BR715" s="3"/>
      <c r="BS715" s="3"/>
    </row>
    <row r="716" ht="12.0" customHeight="1">
      <c r="A716" s="1"/>
      <c r="D716" s="2"/>
      <c r="E716" s="2"/>
      <c r="F716" s="2"/>
      <c r="G716" s="2"/>
      <c r="H716" s="2"/>
      <c r="BR716" s="3"/>
      <c r="BS716" s="3"/>
    </row>
    <row r="717" ht="12.0" customHeight="1">
      <c r="A717" s="1"/>
      <c r="D717" s="2"/>
      <c r="E717" s="2"/>
      <c r="F717" s="2"/>
      <c r="G717" s="2"/>
      <c r="H717" s="2"/>
      <c r="BR717" s="3"/>
      <c r="BS717" s="3"/>
    </row>
    <row r="718" ht="12.0" customHeight="1">
      <c r="A718" s="1"/>
      <c r="D718" s="2"/>
      <c r="E718" s="2"/>
      <c r="F718" s="2"/>
      <c r="G718" s="2"/>
      <c r="H718" s="2"/>
      <c r="BR718" s="3"/>
      <c r="BS718" s="3"/>
    </row>
    <row r="719" ht="12.0" customHeight="1">
      <c r="A719" s="1"/>
      <c r="D719" s="2"/>
      <c r="E719" s="2"/>
      <c r="F719" s="2"/>
      <c r="G719" s="2"/>
      <c r="H719" s="2"/>
      <c r="BR719" s="3"/>
      <c r="BS719" s="3"/>
    </row>
    <row r="720" ht="12.0" customHeight="1">
      <c r="A720" s="1"/>
      <c r="D720" s="2"/>
      <c r="E720" s="2"/>
      <c r="F720" s="2"/>
      <c r="G720" s="2"/>
      <c r="H720" s="2"/>
      <c r="BR720" s="3"/>
      <c r="BS720" s="3"/>
    </row>
    <row r="721" ht="12.0" customHeight="1">
      <c r="A721" s="1"/>
      <c r="D721" s="2"/>
      <c r="E721" s="2"/>
      <c r="F721" s="2"/>
      <c r="G721" s="2"/>
      <c r="H721" s="2"/>
      <c r="BR721" s="3"/>
      <c r="BS721" s="3"/>
    </row>
    <row r="722" ht="12.0" customHeight="1">
      <c r="A722" s="1"/>
      <c r="D722" s="2"/>
      <c r="E722" s="2"/>
      <c r="F722" s="2"/>
      <c r="G722" s="2"/>
      <c r="H722" s="2"/>
      <c r="BR722" s="3"/>
      <c r="BS722" s="3"/>
    </row>
    <row r="723" ht="12.0" customHeight="1">
      <c r="A723" s="1"/>
      <c r="D723" s="2"/>
      <c r="E723" s="2"/>
      <c r="F723" s="2"/>
      <c r="G723" s="2"/>
      <c r="H723" s="2"/>
      <c r="BR723" s="3"/>
      <c r="BS723" s="3"/>
    </row>
    <row r="724" ht="12.0" customHeight="1">
      <c r="A724" s="1"/>
      <c r="D724" s="2"/>
      <c r="E724" s="2"/>
      <c r="F724" s="2"/>
      <c r="G724" s="2"/>
      <c r="H724" s="2"/>
      <c r="BR724" s="3"/>
      <c r="BS724" s="3"/>
    </row>
    <row r="725" ht="12.0" customHeight="1">
      <c r="A725" s="1"/>
      <c r="D725" s="2"/>
      <c r="E725" s="2"/>
      <c r="F725" s="2"/>
      <c r="G725" s="2"/>
      <c r="H725" s="2"/>
      <c r="BR725" s="3"/>
      <c r="BS725" s="3"/>
    </row>
    <row r="726" ht="12.0" customHeight="1">
      <c r="A726" s="1"/>
      <c r="D726" s="2"/>
      <c r="E726" s="2"/>
      <c r="F726" s="2"/>
      <c r="G726" s="2"/>
      <c r="H726" s="2"/>
      <c r="BR726" s="3"/>
      <c r="BS726" s="3"/>
    </row>
    <row r="727" ht="12.0" customHeight="1">
      <c r="A727" s="1"/>
      <c r="D727" s="2"/>
      <c r="E727" s="2"/>
      <c r="F727" s="2"/>
      <c r="G727" s="2"/>
      <c r="H727" s="2"/>
      <c r="BR727" s="3"/>
      <c r="BS727" s="3"/>
    </row>
    <row r="728" ht="12.0" customHeight="1">
      <c r="A728" s="1"/>
      <c r="D728" s="2"/>
      <c r="E728" s="2"/>
      <c r="F728" s="2"/>
      <c r="G728" s="2"/>
      <c r="H728" s="2"/>
      <c r="BR728" s="3"/>
      <c r="BS728" s="3"/>
    </row>
    <row r="729" ht="12.0" customHeight="1">
      <c r="A729" s="1"/>
      <c r="D729" s="2"/>
      <c r="E729" s="2"/>
      <c r="F729" s="2"/>
      <c r="G729" s="2"/>
      <c r="H729" s="2"/>
      <c r="BR729" s="3"/>
      <c r="BS729" s="3"/>
    </row>
    <row r="730" ht="12.0" customHeight="1">
      <c r="A730" s="1"/>
      <c r="D730" s="2"/>
      <c r="E730" s="2"/>
      <c r="F730" s="2"/>
      <c r="G730" s="2"/>
      <c r="H730" s="2"/>
      <c r="BR730" s="3"/>
      <c r="BS730" s="3"/>
    </row>
    <row r="731" ht="12.0" customHeight="1">
      <c r="A731" s="1"/>
      <c r="D731" s="2"/>
      <c r="E731" s="2"/>
      <c r="F731" s="2"/>
      <c r="G731" s="2"/>
      <c r="H731" s="2"/>
      <c r="BR731" s="3"/>
      <c r="BS731" s="3"/>
    </row>
    <row r="732" ht="12.0" customHeight="1">
      <c r="A732" s="1"/>
      <c r="D732" s="2"/>
      <c r="E732" s="2"/>
      <c r="F732" s="2"/>
      <c r="G732" s="2"/>
      <c r="H732" s="2"/>
      <c r="BR732" s="3"/>
      <c r="BS732" s="3"/>
    </row>
    <row r="733" ht="12.0" customHeight="1">
      <c r="A733" s="1"/>
      <c r="D733" s="2"/>
      <c r="E733" s="2"/>
      <c r="F733" s="2"/>
      <c r="G733" s="2"/>
      <c r="H733" s="2"/>
      <c r="BR733" s="3"/>
      <c r="BS733" s="3"/>
    </row>
    <row r="734" ht="12.0" customHeight="1">
      <c r="A734" s="1"/>
      <c r="D734" s="2"/>
      <c r="E734" s="2"/>
      <c r="F734" s="2"/>
      <c r="G734" s="2"/>
      <c r="H734" s="2"/>
      <c r="BR734" s="3"/>
      <c r="BS734" s="3"/>
    </row>
    <row r="735" ht="12.0" customHeight="1">
      <c r="A735" s="1"/>
      <c r="D735" s="2"/>
      <c r="E735" s="2"/>
      <c r="F735" s="2"/>
      <c r="G735" s="2"/>
      <c r="H735" s="2"/>
      <c r="BR735" s="3"/>
      <c r="BS735" s="3"/>
    </row>
    <row r="736" ht="12.0" customHeight="1">
      <c r="A736" s="1"/>
      <c r="D736" s="2"/>
      <c r="E736" s="2"/>
      <c r="F736" s="2"/>
      <c r="G736" s="2"/>
      <c r="H736" s="2"/>
      <c r="BR736" s="3"/>
      <c r="BS736" s="3"/>
    </row>
    <row r="737" ht="12.0" customHeight="1">
      <c r="A737" s="1"/>
      <c r="D737" s="2"/>
      <c r="E737" s="2"/>
      <c r="F737" s="2"/>
      <c r="G737" s="2"/>
      <c r="H737" s="2"/>
      <c r="BR737" s="3"/>
      <c r="BS737" s="3"/>
    </row>
    <row r="738" ht="12.0" customHeight="1">
      <c r="A738" s="1"/>
      <c r="D738" s="2"/>
      <c r="E738" s="2"/>
      <c r="F738" s="2"/>
      <c r="G738" s="2"/>
      <c r="H738" s="2"/>
      <c r="BR738" s="3"/>
      <c r="BS738" s="3"/>
    </row>
    <row r="739" ht="12.0" customHeight="1">
      <c r="A739" s="1"/>
      <c r="D739" s="2"/>
      <c r="E739" s="2"/>
      <c r="F739" s="2"/>
      <c r="G739" s="2"/>
      <c r="H739" s="2"/>
      <c r="BR739" s="3"/>
      <c r="BS739" s="3"/>
    </row>
    <row r="740" ht="12.0" customHeight="1">
      <c r="A740" s="1"/>
      <c r="D740" s="2"/>
      <c r="E740" s="2"/>
      <c r="F740" s="2"/>
      <c r="G740" s="2"/>
      <c r="H740" s="2"/>
      <c r="BR740" s="3"/>
      <c r="BS740" s="3"/>
    </row>
    <row r="741" ht="12.0" customHeight="1">
      <c r="A741" s="1"/>
      <c r="D741" s="2"/>
      <c r="E741" s="2"/>
      <c r="F741" s="2"/>
      <c r="G741" s="2"/>
      <c r="H741" s="2"/>
      <c r="BR741" s="3"/>
      <c r="BS741" s="3"/>
    </row>
    <row r="742" ht="12.0" customHeight="1">
      <c r="A742" s="1"/>
      <c r="D742" s="2"/>
      <c r="E742" s="2"/>
      <c r="F742" s="2"/>
      <c r="G742" s="2"/>
      <c r="H742" s="2"/>
      <c r="BR742" s="3"/>
      <c r="BS742" s="3"/>
    </row>
    <row r="743" ht="12.0" customHeight="1">
      <c r="A743" s="1"/>
      <c r="D743" s="2"/>
      <c r="E743" s="2"/>
      <c r="F743" s="2"/>
      <c r="G743" s="2"/>
      <c r="H743" s="2"/>
      <c r="BR743" s="3"/>
      <c r="BS743" s="3"/>
    </row>
    <row r="744" ht="12.0" customHeight="1">
      <c r="A744" s="1"/>
      <c r="D744" s="2"/>
      <c r="E744" s="2"/>
      <c r="F744" s="2"/>
      <c r="G744" s="2"/>
      <c r="H744" s="2"/>
      <c r="BR744" s="3"/>
      <c r="BS744" s="3"/>
    </row>
    <row r="745" ht="12.0" customHeight="1">
      <c r="A745" s="1"/>
      <c r="D745" s="2"/>
      <c r="E745" s="2"/>
      <c r="F745" s="2"/>
      <c r="G745" s="2"/>
      <c r="H745" s="2"/>
      <c r="BR745" s="3"/>
      <c r="BS745" s="3"/>
    </row>
    <row r="746" ht="12.0" customHeight="1">
      <c r="A746" s="1"/>
      <c r="D746" s="2"/>
      <c r="E746" s="2"/>
      <c r="F746" s="2"/>
      <c r="G746" s="2"/>
      <c r="H746" s="2"/>
      <c r="BR746" s="3"/>
      <c r="BS746" s="3"/>
    </row>
    <row r="747" ht="12.0" customHeight="1">
      <c r="A747" s="1"/>
      <c r="D747" s="2"/>
      <c r="E747" s="2"/>
      <c r="F747" s="2"/>
      <c r="G747" s="2"/>
      <c r="H747" s="2"/>
      <c r="BR747" s="3"/>
      <c r="BS747" s="3"/>
    </row>
    <row r="748" ht="12.0" customHeight="1">
      <c r="A748" s="1"/>
      <c r="D748" s="2"/>
      <c r="E748" s="2"/>
      <c r="F748" s="2"/>
      <c r="G748" s="2"/>
      <c r="H748" s="2"/>
      <c r="BR748" s="3"/>
      <c r="BS748" s="3"/>
    </row>
    <row r="749" ht="12.0" customHeight="1">
      <c r="A749" s="1"/>
      <c r="D749" s="2"/>
      <c r="E749" s="2"/>
      <c r="F749" s="2"/>
      <c r="G749" s="2"/>
      <c r="H749" s="2"/>
      <c r="BR749" s="3"/>
      <c r="BS749" s="3"/>
    </row>
    <row r="750" ht="12.0" customHeight="1">
      <c r="A750" s="1"/>
      <c r="D750" s="2"/>
      <c r="E750" s="2"/>
      <c r="F750" s="2"/>
      <c r="G750" s="2"/>
      <c r="H750" s="2"/>
      <c r="BR750" s="3"/>
      <c r="BS750" s="3"/>
    </row>
    <row r="751" ht="12.0" customHeight="1">
      <c r="A751" s="1"/>
      <c r="D751" s="2"/>
      <c r="E751" s="2"/>
      <c r="F751" s="2"/>
      <c r="G751" s="2"/>
      <c r="H751" s="2"/>
      <c r="BR751" s="3"/>
      <c r="BS751" s="3"/>
    </row>
    <row r="752" ht="12.0" customHeight="1">
      <c r="A752" s="1"/>
      <c r="D752" s="2"/>
      <c r="E752" s="2"/>
      <c r="F752" s="2"/>
      <c r="G752" s="2"/>
      <c r="H752" s="2"/>
      <c r="BR752" s="3"/>
      <c r="BS752" s="3"/>
    </row>
    <row r="753" ht="12.0" customHeight="1">
      <c r="A753" s="1"/>
      <c r="D753" s="2"/>
      <c r="E753" s="2"/>
      <c r="F753" s="2"/>
      <c r="G753" s="2"/>
      <c r="H753" s="2"/>
      <c r="BR753" s="3"/>
      <c r="BS753" s="3"/>
    </row>
    <row r="754" ht="12.0" customHeight="1">
      <c r="A754" s="1"/>
      <c r="D754" s="2"/>
      <c r="E754" s="2"/>
      <c r="F754" s="2"/>
      <c r="G754" s="2"/>
      <c r="H754" s="2"/>
      <c r="BR754" s="3"/>
      <c r="BS754" s="3"/>
    </row>
    <row r="755" ht="12.0" customHeight="1">
      <c r="A755" s="1"/>
      <c r="D755" s="2"/>
      <c r="E755" s="2"/>
      <c r="F755" s="2"/>
      <c r="G755" s="2"/>
      <c r="H755" s="2"/>
      <c r="BR755" s="3"/>
      <c r="BS755" s="3"/>
    </row>
    <row r="756" ht="12.0" customHeight="1">
      <c r="A756" s="1"/>
      <c r="D756" s="2"/>
      <c r="E756" s="2"/>
      <c r="F756" s="2"/>
      <c r="G756" s="2"/>
      <c r="H756" s="2"/>
      <c r="BR756" s="3"/>
      <c r="BS756" s="3"/>
    </row>
    <row r="757" ht="12.0" customHeight="1">
      <c r="A757" s="1"/>
      <c r="D757" s="2"/>
      <c r="E757" s="2"/>
      <c r="F757" s="2"/>
      <c r="G757" s="2"/>
      <c r="H757" s="2"/>
      <c r="BR757" s="3"/>
      <c r="BS757" s="3"/>
    </row>
    <row r="758" ht="12.0" customHeight="1">
      <c r="A758" s="1"/>
      <c r="D758" s="2"/>
      <c r="E758" s="2"/>
      <c r="F758" s="2"/>
      <c r="G758" s="2"/>
      <c r="H758" s="2"/>
      <c r="BR758" s="3"/>
      <c r="BS758" s="3"/>
    </row>
    <row r="759" ht="12.0" customHeight="1">
      <c r="A759" s="1"/>
      <c r="D759" s="2"/>
      <c r="E759" s="2"/>
      <c r="F759" s="2"/>
      <c r="G759" s="2"/>
      <c r="H759" s="2"/>
      <c r="BR759" s="3"/>
      <c r="BS759" s="3"/>
    </row>
    <row r="760" ht="12.0" customHeight="1">
      <c r="A760" s="1"/>
      <c r="D760" s="2"/>
      <c r="E760" s="2"/>
      <c r="F760" s="2"/>
      <c r="G760" s="2"/>
      <c r="H760" s="2"/>
      <c r="BR760" s="3"/>
      <c r="BS760" s="3"/>
    </row>
    <row r="761" ht="12.0" customHeight="1">
      <c r="A761" s="1"/>
      <c r="D761" s="2"/>
      <c r="E761" s="2"/>
      <c r="F761" s="2"/>
      <c r="G761" s="2"/>
      <c r="H761" s="2"/>
      <c r="BR761" s="3"/>
      <c r="BS761" s="3"/>
    </row>
    <row r="762" ht="12.0" customHeight="1">
      <c r="A762" s="1"/>
      <c r="D762" s="2"/>
      <c r="E762" s="2"/>
      <c r="F762" s="2"/>
      <c r="G762" s="2"/>
      <c r="H762" s="2"/>
      <c r="BR762" s="3"/>
      <c r="BS762" s="3"/>
    </row>
    <row r="763" ht="12.0" customHeight="1">
      <c r="A763" s="1"/>
      <c r="D763" s="2"/>
      <c r="E763" s="2"/>
      <c r="F763" s="2"/>
      <c r="G763" s="2"/>
      <c r="H763" s="2"/>
      <c r="BR763" s="3"/>
      <c r="BS763" s="3"/>
    </row>
    <row r="764" ht="12.0" customHeight="1">
      <c r="A764" s="1"/>
      <c r="D764" s="2"/>
      <c r="E764" s="2"/>
      <c r="F764" s="2"/>
      <c r="G764" s="2"/>
      <c r="H764" s="2"/>
      <c r="BR764" s="3"/>
      <c r="BS764" s="3"/>
    </row>
    <row r="765" ht="12.0" customHeight="1">
      <c r="A765" s="1"/>
      <c r="D765" s="2"/>
      <c r="E765" s="2"/>
      <c r="F765" s="2"/>
      <c r="G765" s="2"/>
      <c r="H765" s="2"/>
      <c r="BR765" s="3"/>
      <c r="BS765" s="3"/>
    </row>
    <row r="766" ht="12.0" customHeight="1">
      <c r="A766" s="1"/>
      <c r="D766" s="2"/>
      <c r="E766" s="2"/>
      <c r="F766" s="2"/>
      <c r="G766" s="2"/>
      <c r="H766" s="2"/>
      <c r="BR766" s="3"/>
      <c r="BS766" s="3"/>
    </row>
    <row r="767" ht="12.0" customHeight="1">
      <c r="A767" s="1"/>
      <c r="D767" s="2"/>
      <c r="E767" s="2"/>
      <c r="F767" s="2"/>
      <c r="G767" s="2"/>
      <c r="H767" s="2"/>
      <c r="BR767" s="3"/>
      <c r="BS767" s="3"/>
    </row>
    <row r="768" ht="12.0" customHeight="1">
      <c r="A768" s="1"/>
      <c r="D768" s="2"/>
      <c r="E768" s="2"/>
      <c r="F768" s="2"/>
      <c r="G768" s="2"/>
      <c r="H768" s="2"/>
      <c r="BR768" s="3"/>
      <c r="BS768" s="3"/>
    </row>
    <row r="769" ht="12.0" customHeight="1">
      <c r="A769" s="1"/>
      <c r="D769" s="2"/>
      <c r="E769" s="2"/>
      <c r="F769" s="2"/>
      <c r="G769" s="2"/>
      <c r="H769" s="2"/>
      <c r="BR769" s="3"/>
      <c r="BS769" s="3"/>
    </row>
    <row r="770" ht="12.0" customHeight="1">
      <c r="A770" s="1"/>
      <c r="D770" s="2"/>
      <c r="E770" s="2"/>
      <c r="F770" s="2"/>
      <c r="G770" s="2"/>
      <c r="H770" s="2"/>
      <c r="BR770" s="3"/>
      <c r="BS770" s="3"/>
    </row>
    <row r="771" ht="12.0" customHeight="1">
      <c r="A771" s="1"/>
      <c r="D771" s="2"/>
      <c r="E771" s="2"/>
      <c r="F771" s="2"/>
      <c r="G771" s="2"/>
      <c r="H771" s="2"/>
      <c r="BR771" s="3"/>
      <c r="BS771" s="3"/>
    </row>
    <row r="772" ht="12.0" customHeight="1">
      <c r="A772" s="1"/>
      <c r="D772" s="2"/>
      <c r="E772" s="2"/>
      <c r="F772" s="2"/>
      <c r="G772" s="2"/>
      <c r="H772" s="2"/>
      <c r="BR772" s="3"/>
      <c r="BS772" s="3"/>
    </row>
    <row r="773" ht="12.0" customHeight="1">
      <c r="A773" s="1"/>
      <c r="D773" s="2"/>
      <c r="E773" s="2"/>
      <c r="F773" s="2"/>
      <c r="G773" s="2"/>
      <c r="H773" s="2"/>
      <c r="BR773" s="3"/>
      <c r="BS773" s="3"/>
    </row>
    <row r="774" ht="12.0" customHeight="1">
      <c r="A774" s="1"/>
      <c r="D774" s="2"/>
      <c r="E774" s="2"/>
      <c r="F774" s="2"/>
      <c r="G774" s="2"/>
      <c r="H774" s="2"/>
      <c r="BR774" s="3"/>
      <c r="BS774" s="3"/>
    </row>
    <row r="775" ht="12.0" customHeight="1">
      <c r="A775" s="1"/>
      <c r="D775" s="2"/>
      <c r="E775" s="2"/>
      <c r="F775" s="2"/>
      <c r="G775" s="2"/>
      <c r="H775" s="2"/>
      <c r="BR775" s="3"/>
      <c r="BS775" s="3"/>
    </row>
    <row r="776" ht="12.0" customHeight="1">
      <c r="A776" s="1"/>
      <c r="D776" s="2"/>
      <c r="E776" s="2"/>
      <c r="F776" s="2"/>
      <c r="G776" s="2"/>
      <c r="H776" s="2"/>
      <c r="BR776" s="3"/>
      <c r="BS776" s="3"/>
    </row>
    <row r="777" ht="12.0" customHeight="1">
      <c r="A777" s="1"/>
      <c r="D777" s="2"/>
      <c r="E777" s="2"/>
      <c r="F777" s="2"/>
      <c r="G777" s="2"/>
      <c r="H777" s="2"/>
      <c r="BR777" s="3"/>
      <c r="BS777" s="3"/>
    </row>
    <row r="778" ht="12.0" customHeight="1">
      <c r="A778" s="1"/>
      <c r="D778" s="2"/>
      <c r="E778" s="2"/>
      <c r="F778" s="2"/>
      <c r="G778" s="2"/>
      <c r="H778" s="2"/>
      <c r="BR778" s="3"/>
      <c r="BS778" s="3"/>
    </row>
    <row r="779" ht="12.0" customHeight="1">
      <c r="A779" s="1"/>
      <c r="D779" s="2"/>
      <c r="E779" s="2"/>
      <c r="F779" s="2"/>
      <c r="G779" s="2"/>
      <c r="H779" s="2"/>
      <c r="BR779" s="3"/>
      <c r="BS779" s="3"/>
    </row>
    <row r="780" ht="12.0" customHeight="1">
      <c r="A780" s="1"/>
      <c r="D780" s="2"/>
      <c r="E780" s="2"/>
      <c r="F780" s="2"/>
      <c r="G780" s="2"/>
      <c r="H780" s="2"/>
      <c r="BR780" s="3"/>
      <c r="BS780" s="3"/>
    </row>
    <row r="781" ht="12.0" customHeight="1">
      <c r="A781" s="1"/>
      <c r="D781" s="2"/>
      <c r="E781" s="2"/>
      <c r="F781" s="2"/>
      <c r="G781" s="2"/>
      <c r="H781" s="2"/>
      <c r="BR781" s="3"/>
      <c r="BS781" s="3"/>
    </row>
    <row r="782" ht="12.0" customHeight="1">
      <c r="A782" s="1"/>
      <c r="D782" s="2"/>
      <c r="E782" s="2"/>
      <c r="F782" s="2"/>
      <c r="G782" s="2"/>
      <c r="H782" s="2"/>
      <c r="BR782" s="3"/>
      <c r="BS782" s="3"/>
    </row>
    <row r="783" ht="12.0" customHeight="1">
      <c r="A783" s="1"/>
      <c r="D783" s="2"/>
      <c r="E783" s="2"/>
      <c r="F783" s="2"/>
      <c r="G783" s="2"/>
      <c r="H783" s="2"/>
      <c r="BR783" s="3"/>
      <c r="BS783" s="3"/>
    </row>
    <row r="784" ht="12.0" customHeight="1">
      <c r="A784" s="1"/>
      <c r="D784" s="2"/>
      <c r="E784" s="2"/>
      <c r="F784" s="2"/>
      <c r="G784" s="2"/>
      <c r="H784" s="2"/>
      <c r="BR784" s="3"/>
      <c r="BS784" s="3"/>
    </row>
    <row r="785" ht="12.0" customHeight="1">
      <c r="A785" s="1"/>
      <c r="D785" s="2"/>
      <c r="E785" s="2"/>
      <c r="F785" s="2"/>
      <c r="G785" s="2"/>
      <c r="H785" s="2"/>
      <c r="BR785" s="3"/>
      <c r="BS785" s="3"/>
    </row>
    <row r="786" ht="12.0" customHeight="1">
      <c r="A786" s="1"/>
      <c r="D786" s="2"/>
      <c r="E786" s="2"/>
      <c r="F786" s="2"/>
      <c r="G786" s="2"/>
      <c r="H786" s="2"/>
      <c r="BR786" s="3"/>
      <c r="BS786" s="3"/>
    </row>
    <row r="787" ht="12.0" customHeight="1">
      <c r="A787" s="1"/>
      <c r="D787" s="2"/>
      <c r="E787" s="2"/>
      <c r="F787" s="2"/>
      <c r="G787" s="2"/>
      <c r="H787" s="2"/>
      <c r="BR787" s="3"/>
      <c r="BS787" s="3"/>
    </row>
    <row r="788" ht="12.0" customHeight="1">
      <c r="A788" s="1"/>
      <c r="D788" s="2"/>
      <c r="E788" s="2"/>
      <c r="F788" s="2"/>
      <c r="G788" s="2"/>
      <c r="H788" s="2"/>
      <c r="BR788" s="3"/>
      <c r="BS788" s="3"/>
    </row>
    <row r="789" ht="12.0" customHeight="1">
      <c r="A789" s="1"/>
      <c r="D789" s="2"/>
      <c r="E789" s="2"/>
      <c r="F789" s="2"/>
      <c r="G789" s="2"/>
      <c r="H789" s="2"/>
      <c r="BR789" s="3"/>
      <c r="BS789" s="3"/>
    </row>
    <row r="790" ht="12.0" customHeight="1">
      <c r="A790" s="1"/>
      <c r="D790" s="2"/>
      <c r="E790" s="2"/>
      <c r="F790" s="2"/>
      <c r="G790" s="2"/>
      <c r="H790" s="2"/>
      <c r="BR790" s="3"/>
      <c r="BS790" s="3"/>
    </row>
    <row r="791" ht="12.0" customHeight="1">
      <c r="A791" s="1"/>
      <c r="D791" s="2"/>
      <c r="E791" s="2"/>
      <c r="F791" s="2"/>
      <c r="G791" s="2"/>
      <c r="H791" s="2"/>
      <c r="BR791" s="3"/>
      <c r="BS791" s="3"/>
    </row>
    <row r="792" ht="12.0" customHeight="1">
      <c r="A792" s="1"/>
      <c r="D792" s="2"/>
      <c r="E792" s="2"/>
      <c r="F792" s="2"/>
      <c r="G792" s="2"/>
      <c r="H792" s="2"/>
      <c r="BR792" s="3"/>
      <c r="BS792" s="3"/>
    </row>
    <row r="793" ht="12.0" customHeight="1">
      <c r="A793" s="1"/>
      <c r="D793" s="2"/>
      <c r="E793" s="2"/>
      <c r="F793" s="2"/>
      <c r="G793" s="2"/>
      <c r="H793" s="2"/>
      <c r="BR793" s="3"/>
      <c r="BS793" s="3"/>
    </row>
    <row r="794" ht="12.0" customHeight="1">
      <c r="A794" s="1"/>
      <c r="D794" s="2"/>
      <c r="E794" s="2"/>
      <c r="F794" s="2"/>
      <c r="G794" s="2"/>
      <c r="H794" s="2"/>
      <c r="BR794" s="3"/>
      <c r="BS794" s="3"/>
    </row>
    <row r="795" ht="12.0" customHeight="1">
      <c r="A795" s="1"/>
      <c r="D795" s="2"/>
      <c r="E795" s="2"/>
      <c r="F795" s="2"/>
      <c r="G795" s="2"/>
      <c r="H795" s="2"/>
      <c r="BR795" s="3"/>
      <c r="BS795" s="3"/>
    </row>
    <row r="796" ht="12.0" customHeight="1">
      <c r="A796" s="1"/>
      <c r="D796" s="2"/>
      <c r="E796" s="2"/>
      <c r="F796" s="2"/>
      <c r="G796" s="2"/>
      <c r="H796" s="2"/>
      <c r="BR796" s="3"/>
      <c r="BS796" s="3"/>
    </row>
    <row r="797" ht="12.0" customHeight="1">
      <c r="A797" s="1"/>
      <c r="D797" s="2"/>
      <c r="E797" s="2"/>
      <c r="F797" s="2"/>
      <c r="G797" s="2"/>
      <c r="H797" s="2"/>
      <c r="BR797" s="3"/>
      <c r="BS797" s="3"/>
    </row>
    <row r="798" ht="12.0" customHeight="1">
      <c r="A798" s="1"/>
      <c r="D798" s="2"/>
      <c r="E798" s="2"/>
      <c r="F798" s="2"/>
      <c r="G798" s="2"/>
      <c r="H798" s="2"/>
      <c r="BR798" s="3"/>
      <c r="BS798" s="3"/>
    </row>
    <row r="799" ht="12.0" customHeight="1">
      <c r="A799" s="1"/>
      <c r="D799" s="2"/>
      <c r="E799" s="2"/>
      <c r="F799" s="2"/>
      <c r="G799" s="2"/>
      <c r="H799" s="2"/>
      <c r="BR799" s="3"/>
      <c r="BS799" s="3"/>
    </row>
    <row r="800" ht="12.0" customHeight="1">
      <c r="A800" s="1"/>
      <c r="D800" s="2"/>
      <c r="E800" s="2"/>
      <c r="F800" s="2"/>
      <c r="G800" s="2"/>
      <c r="H800" s="2"/>
      <c r="BR800" s="3"/>
      <c r="BS800" s="3"/>
    </row>
    <row r="801" ht="12.0" customHeight="1">
      <c r="A801" s="1"/>
      <c r="D801" s="2"/>
      <c r="E801" s="2"/>
      <c r="F801" s="2"/>
      <c r="G801" s="2"/>
      <c r="H801" s="2"/>
      <c r="BR801" s="3"/>
      <c r="BS801" s="3"/>
    </row>
    <row r="802" ht="12.0" customHeight="1">
      <c r="A802" s="1"/>
      <c r="D802" s="2"/>
      <c r="E802" s="2"/>
      <c r="F802" s="2"/>
      <c r="G802" s="2"/>
      <c r="H802" s="2"/>
      <c r="BR802" s="3"/>
      <c r="BS802" s="3"/>
    </row>
    <row r="803" ht="12.0" customHeight="1">
      <c r="A803" s="1"/>
      <c r="D803" s="2"/>
      <c r="E803" s="2"/>
      <c r="F803" s="2"/>
      <c r="G803" s="2"/>
      <c r="H803" s="2"/>
      <c r="BR803" s="3"/>
      <c r="BS803" s="3"/>
    </row>
    <row r="804" ht="12.0" customHeight="1">
      <c r="A804" s="1"/>
      <c r="D804" s="2"/>
      <c r="E804" s="2"/>
      <c r="F804" s="2"/>
      <c r="G804" s="2"/>
      <c r="H804" s="2"/>
      <c r="BR804" s="3"/>
      <c r="BS804" s="3"/>
    </row>
    <row r="805" ht="12.0" customHeight="1">
      <c r="A805" s="1"/>
      <c r="D805" s="2"/>
      <c r="E805" s="2"/>
      <c r="F805" s="2"/>
      <c r="G805" s="2"/>
      <c r="H805" s="2"/>
      <c r="BR805" s="3"/>
      <c r="BS805" s="3"/>
    </row>
    <row r="806" ht="12.0" customHeight="1">
      <c r="A806" s="1"/>
      <c r="D806" s="2"/>
      <c r="E806" s="2"/>
      <c r="F806" s="2"/>
      <c r="G806" s="2"/>
      <c r="H806" s="2"/>
      <c r="BR806" s="3"/>
      <c r="BS806" s="3"/>
    </row>
    <row r="807" ht="12.0" customHeight="1">
      <c r="A807" s="1"/>
      <c r="D807" s="2"/>
      <c r="E807" s="2"/>
      <c r="F807" s="2"/>
      <c r="G807" s="2"/>
      <c r="H807" s="2"/>
      <c r="BR807" s="3"/>
      <c r="BS807" s="3"/>
    </row>
    <row r="808" ht="12.0" customHeight="1">
      <c r="A808" s="1"/>
      <c r="D808" s="2"/>
      <c r="E808" s="2"/>
      <c r="F808" s="2"/>
      <c r="G808" s="2"/>
      <c r="H808" s="2"/>
      <c r="BR808" s="3"/>
      <c r="BS808" s="3"/>
    </row>
    <row r="809" ht="12.0" customHeight="1">
      <c r="A809" s="1"/>
      <c r="D809" s="2"/>
      <c r="E809" s="2"/>
      <c r="F809" s="2"/>
      <c r="G809" s="2"/>
      <c r="H809" s="2"/>
      <c r="BR809" s="3"/>
      <c r="BS809" s="3"/>
    </row>
    <row r="810" ht="12.0" customHeight="1">
      <c r="A810" s="1"/>
      <c r="D810" s="2"/>
      <c r="E810" s="2"/>
      <c r="F810" s="2"/>
      <c r="G810" s="2"/>
      <c r="H810" s="2"/>
      <c r="BR810" s="3"/>
      <c r="BS810" s="3"/>
    </row>
    <row r="811" ht="12.0" customHeight="1">
      <c r="A811" s="1"/>
      <c r="D811" s="2"/>
      <c r="E811" s="2"/>
      <c r="F811" s="2"/>
      <c r="G811" s="2"/>
      <c r="H811" s="2"/>
      <c r="BR811" s="3"/>
      <c r="BS811" s="3"/>
    </row>
    <row r="812" ht="12.0" customHeight="1">
      <c r="A812" s="1"/>
      <c r="D812" s="2"/>
      <c r="E812" s="2"/>
      <c r="F812" s="2"/>
      <c r="G812" s="2"/>
      <c r="H812" s="2"/>
      <c r="BR812" s="3"/>
      <c r="BS812" s="3"/>
    </row>
    <row r="813" ht="12.0" customHeight="1">
      <c r="A813" s="1"/>
      <c r="D813" s="2"/>
      <c r="E813" s="2"/>
      <c r="F813" s="2"/>
      <c r="G813" s="2"/>
      <c r="H813" s="2"/>
      <c r="BR813" s="3"/>
      <c r="BS813" s="3"/>
    </row>
    <row r="814" ht="12.0" customHeight="1">
      <c r="A814" s="1"/>
      <c r="D814" s="2"/>
      <c r="E814" s="2"/>
      <c r="F814" s="2"/>
      <c r="G814" s="2"/>
      <c r="H814" s="2"/>
      <c r="BR814" s="3"/>
      <c r="BS814" s="3"/>
    </row>
    <row r="815" ht="12.0" customHeight="1">
      <c r="A815" s="1"/>
      <c r="D815" s="2"/>
      <c r="E815" s="2"/>
      <c r="F815" s="2"/>
      <c r="G815" s="2"/>
      <c r="H815" s="2"/>
      <c r="BR815" s="3"/>
      <c r="BS815" s="3"/>
    </row>
    <row r="816" ht="12.0" customHeight="1">
      <c r="A816" s="1"/>
      <c r="D816" s="2"/>
      <c r="E816" s="2"/>
      <c r="F816" s="2"/>
      <c r="G816" s="2"/>
      <c r="H816" s="2"/>
      <c r="BR816" s="3"/>
      <c r="BS816" s="3"/>
    </row>
    <row r="817" ht="12.0" customHeight="1">
      <c r="A817" s="1"/>
      <c r="D817" s="2"/>
      <c r="E817" s="2"/>
      <c r="F817" s="2"/>
      <c r="G817" s="2"/>
      <c r="H817" s="2"/>
      <c r="BR817" s="3"/>
      <c r="BS817" s="3"/>
    </row>
    <row r="818" ht="12.0" customHeight="1">
      <c r="A818" s="1"/>
      <c r="D818" s="2"/>
      <c r="E818" s="2"/>
      <c r="F818" s="2"/>
      <c r="G818" s="2"/>
      <c r="H818" s="2"/>
      <c r="BR818" s="3"/>
      <c r="BS818" s="3"/>
    </row>
    <row r="819" ht="12.0" customHeight="1">
      <c r="A819" s="1"/>
      <c r="D819" s="2"/>
      <c r="E819" s="2"/>
      <c r="F819" s="2"/>
      <c r="G819" s="2"/>
      <c r="H819" s="2"/>
      <c r="BR819" s="3"/>
      <c r="BS819" s="3"/>
    </row>
    <row r="820" ht="12.0" customHeight="1">
      <c r="A820" s="1"/>
      <c r="D820" s="2"/>
      <c r="E820" s="2"/>
      <c r="F820" s="2"/>
      <c r="G820" s="2"/>
      <c r="H820" s="2"/>
      <c r="BR820" s="3"/>
      <c r="BS820" s="3"/>
    </row>
    <row r="821" ht="12.0" customHeight="1">
      <c r="A821" s="1"/>
      <c r="D821" s="2"/>
      <c r="E821" s="2"/>
      <c r="F821" s="2"/>
      <c r="G821" s="2"/>
      <c r="H821" s="2"/>
      <c r="BR821" s="3"/>
      <c r="BS821" s="3"/>
    </row>
    <row r="822" ht="12.0" customHeight="1">
      <c r="A822" s="1"/>
      <c r="D822" s="2"/>
      <c r="E822" s="2"/>
      <c r="F822" s="2"/>
      <c r="G822" s="2"/>
      <c r="H822" s="2"/>
      <c r="BR822" s="3"/>
      <c r="BS822" s="3"/>
    </row>
    <row r="823" ht="12.0" customHeight="1">
      <c r="A823" s="1"/>
      <c r="D823" s="2"/>
      <c r="E823" s="2"/>
      <c r="F823" s="2"/>
      <c r="G823" s="2"/>
      <c r="H823" s="2"/>
      <c r="BR823" s="3"/>
      <c r="BS823" s="3"/>
    </row>
    <row r="824" ht="12.0" customHeight="1">
      <c r="A824" s="1"/>
      <c r="D824" s="2"/>
      <c r="E824" s="2"/>
      <c r="F824" s="2"/>
      <c r="G824" s="2"/>
      <c r="H824" s="2"/>
      <c r="BR824" s="3"/>
      <c r="BS824" s="3"/>
    </row>
    <row r="825" ht="12.0" customHeight="1">
      <c r="A825" s="1"/>
      <c r="D825" s="2"/>
      <c r="E825" s="2"/>
      <c r="F825" s="2"/>
      <c r="G825" s="2"/>
      <c r="H825" s="2"/>
      <c r="BR825" s="3"/>
      <c r="BS825" s="3"/>
    </row>
    <row r="826" ht="12.0" customHeight="1">
      <c r="A826" s="1"/>
      <c r="D826" s="2"/>
      <c r="E826" s="2"/>
      <c r="F826" s="2"/>
      <c r="G826" s="2"/>
      <c r="H826" s="2"/>
      <c r="BR826" s="3"/>
      <c r="BS826" s="3"/>
    </row>
    <row r="827" ht="12.0" customHeight="1">
      <c r="A827" s="1"/>
      <c r="D827" s="2"/>
      <c r="E827" s="2"/>
      <c r="F827" s="2"/>
      <c r="G827" s="2"/>
      <c r="H827" s="2"/>
      <c r="BR827" s="3"/>
      <c r="BS827" s="3"/>
    </row>
    <row r="828" ht="12.0" customHeight="1">
      <c r="A828" s="1"/>
      <c r="D828" s="2"/>
      <c r="E828" s="2"/>
      <c r="F828" s="2"/>
      <c r="G828" s="2"/>
      <c r="H828" s="2"/>
      <c r="BR828" s="3"/>
      <c r="BS828" s="3"/>
    </row>
    <row r="829" ht="12.0" customHeight="1">
      <c r="A829" s="1"/>
      <c r="D829" s="2"/>
      <c r="E829" s="2"/>
      <c r="F829" s="2"/>
      <c r="G829" s="2"/>
      <c r="H829" s="2"/>
      <c r="BR829" s="3"/>
      <c r="BS829" s="3"/>
    </row>
    <row r="830" ht="12.0" customHeight="1">
      <c r="A830" s="1"/>
      <c r="D830" s="2"/>
      <c r="E830" s="2"/>
      <c r="F830" s="2"/>
      <c r="G830" s="2"/>
      <c r="H830" s="2"/>
      <c r="BR830" s="3"/>
      <c r="BS830" s="3"/>
    </row>
    <row r="831" ht="12.0" customHeight="1">
      <c r="A831" s="1"/>
      <c r="D831" s="2"/>
      <c r="E831" s="2"/>
      <c r="F831" s="2"/>
      <c r="G831" s="2"/>
      <c r="H831" s="2"/>
      <c r="BR831" s="3"/>
      <c r="BS831" s="3"/>
    </row>
    <row r="832" ht="12.0" customHeight="1">
      <c r="A832" s="1"/>
      <c r="D832" s="2"/>
      <c r="E832" s="2"/>
      <c r="F832" s="2"/>
      <c r="G832" s="2"/>
      <c r="H832" s="2"/>
      <c r="BR832" s="3"/>
      <c r="BS832" s="3"/>
    </row>
    <row r="833" ht="12.0" customHeight="1">
      <c r="A833" s="1"/>
      <c r="D833" s="2"/>
      <c r="E833" s="2"/>
      <c r="F833" s="2"/>
      <c r="G833" s="2"/>
      <c r="H833" s="2"/>
      <c r="BR833" s="3"/>
      <c r="BS833" s="3"/>
    </row>
    <row r="834" ht="12.0" customHeight="1">
      <c r="A834" s="1"/>
      <c r="D834" s="2"/>
      <c r="E834" s="2"/>
      <c r="F834" s="2"/>
      <c r="G834" s="2"/>
      <c r="H834" s="2"/>
      <c r="BR834" s="3"/>
      <c r="BS834" s="3"/>
    </row>
    <row r="835" ht="12.0" customHeight="1">
      <c r="A835" s="1"/>
      <c r="D835" s="2"/>
      <c r="E835" s="2"/>
      <c r="F835" s="2"/>
      <c r="G835" s="2"/>
      <c r="H835" s="2"/>
      <c r="BR835" s="3"/>
      <c r="BS835" s="3"/>
    </row>
    <row r="836" ht="12.0" customHeight="1">
      <c r="A836" s="1"/>
      <c r="D836" s="2"/>
      <c r="E836" s="2"/>
      <c r="F836" s="2"/>
      <c r="G836" s="2"/>
      <c r="H836" s="2"/>
      <c r="BR836" s="3"/>
      <c r="BS836" s="3"/>
    </row>
    <row r="837" ht="12.0" customHeight="1">
      <c r="A837" s="1"/>
      <c r="D837" s="2"/>
      <c r="E837" s="2"/>
      <c r="F837" s="2"/>
      <c r="G837" s="2"/>
      <c r="H837" s="2"/>
      <c r="BR837" s="3"/>
      <c r="BS837" s="3"/>
    </row>
    <row r="838" ht="12.0" customHeight="1">
      <c r="A838" s="1"/>
      <c r="D838" s="2"/>
      <c r="E838" s="2"/>
      <c r="F838" s="2"/>
      <c r="G838" s="2"/>
      <c r="H838" s="2"/>
      <c r="BR838" s="3"/>
      <c r="BS838" s="3"/>
    </row>
    <row r="839" ht="12.0" customHeight="1">
      <c r="A839" s="1"/>
      <c r="D839" s="2"/>
      <c r="E839" s="2"/>
      <c r="F839" s="2"/>
      <c r="G839" s="2"/>
      <c r="H839" s="2"/>
      <c r="BR839" s="3"/>
      <c r="BS839" s="3"/>
    </row>
    <row r="840" ht="12.0" customHeight="1">
      <c r="A840" s="1"/>
      <c r="D840" s="2"/>
      <c r="E840" s="2"/>
      <c r="F840" s="2"/>
      <c r="G840" s="2"/>
      <c r="H840" s="2"/>
      <c r="BR840" s="3"/>
      <c r="BS840" s="3"/>
    </row>
    <row r="841" ht="12.0" customHeight="1">
      <c r="A841" s="1"/>
      <c r="D841" s="2"/>
      <c r="E841" s="2"/>
      <c r="F841" s="2"/>
      <c r="G841" s="2"/>
      <c r="H841" s="2"/>
      <c r="BR841" s="3"/>
      <c r="BS841" s="3"/>
    </row>
    <row r="842" ht="12.0" customHeight="1">
      <c r="A842" s="1"/>
      <c r="D842" s="2"/>
      <c r="E842" s="2"/>
      <c r="F842" s="2"/>
      <c r="G842" s="2"/>
      <c r="H842" s="2"/>
      <c r="BR842" s="3"/>
      <c r="BS842" s="3"/>
    </row>
    <row r="843" ht="12.0" customHeight="1">
      <c r="A843" s="1"/>
      <c r="D843" s="2"/>
      <c r="E843" s="2"/>
      <c r="F843" s="2"/>
      <c r="G843" s="2"/>
      <c r="H843" s="2"/>
      <c r="BR843" s="3"/>
      <c r="BS843" s="3"/>
    </row>
    <row r="844" ht="12.0" customHeight="1">
      <c r="A844" s="1"/>
      <c r="D844" s="2"/>
      <c r="E844" s="2"/>
      <c r="F844" s="2"/>
      <c r="G844" s="2"/>
      <c r="H844" s="2"/>
      <c r="BR844" s="3"/>
      <c r="BS844" s="3"/>
    </row>
    <row r="845" ht="12.0" customHeight="1">
      <c r="A845" s="1"/>
      <c r="D845" s="2"/>
      <c r="E845" s="2"/>
      <c r="F845" s="2"/>
      <c r="G845" s="2"/>
      <c r="H845" s="2"/>
      <c r="BR845" s="3"/>
      <c r="BS845" s="3"/>
    </row>
    <row r="846" ht="12.0" customHeight="1">
      <c r="A846" s="1"/>
      <c r="D846" s="2"/>
      <c r="E846" s="2"/>
      <c r="F846" s="2"/>
      <c r="G846" s="2"/>
      <c r="H846" s="2"/>
      <c r="BR846" s="3"/>
      <c r="BS846" s="3"/>
    </row>
    <row r="847" ht="12.0" customHeight="1">
      <c r="A847" s="1"/>
      <c r="D847" s="2"/>
      <c r="E847" s="2"/>
      <c r="F847" s="2"/>
      <c r="G847" s="2"/>
      <c r="H847" s="2"/>
      <c r="BR847" s="3"/>
      <c r="BS847" s="3"/>
    </row>
    <row r="848" ht="12.0" customHeight="1">
      <c r="A848" s="1"/>
      <c r="D848" s="2"/>
      <c r="E848" s="2"/>
      <c r="F848" s="2"/>
      <c r="G848" s="2"/>
      <c r="H848" s="2"/>
      <c r="BR848" s="3"/>
      <c r="BS848" s="3"/>
    </row>
    <row r="849" ht="12.0" customHeight="1">
      <c r="A849" s="1"/>
      <c r="D849" s="2"/>
      <c r="E849" s="2"/>
      <c r="F849" s="2"/>
      <c r="G849" s="2"/>
      <c r="H849" s="2"/>
      <c r="BR849" s="3"/>
      <c r="BS849" s="3"/>
    </row>
    <row r="850" ht="12.0" customHeight="1">
      <c r="A850" s="1"/>
      <c r="D850" s="2"/>
      <c r="E850" s="2"/>
      <c r="F850" s="2"/>
      <c r="G850" s="2"/>
      <c r="H850" s="2"/>
      <c r="BR850" s="3"/>
      <c r="BS850" s="3"/>
    </row>
    <row r="851" ht="12.0" customHeight="1">
      <c r="A851" s="1"/>
      <c r="D851" s="2"/>
      <c r="E851" s="2"/>
      <c r="F851" s="2"/>
      <c r="G851" s="2"/>
      <c r="H851" s="2"/>
      <c r="BR851" s="3"/>
      <c r="BS851" s="3"/>
    </row>
    <row r="852" ht="12.0" customHeight="1">
      <c r="A852" s="1"/>
      <c r="D852" s="2"/>
      <c r="E852" s="2"/>
      <c r="F852" s="2"/>
      <c r="G852" s="2"/>
      <c r="H852" s="2"/>
      <c r="BR852" s="3"/>
      <c r="BS852" s="3"/>
    </row>
    <row r="853" ht="12.0" customHeight="1">
      <c r="A853" s="1"/>
      <c r="D853" s="2"/>
      <c r="E853" s="2"/>
      <c r="F853" s="2"/>
      <c r="G853" s="2"/>
      <c r="H853" s="2"/>
      <c r="BR853" s="3"/>
      <c r="BS853" s="3"/>
    </row>
    <row r="854" ht="12.0" customHeight="1">
      <c r="A854" s="1"/>
      <c r="D854" s="2"/>
      <c r="E854" s="2"/>
      <c r="F854" s="2"/>
      <c r="G854" s="2"/>
      <c r="H854" s="2"/>
      <c r="BR854" s="3"/>
      <c r="BS854" s="3"/>
    </row>
    <row r="855" ht="12.0" customHeight="1">
      <c r="A855" s="1"/>
      <c r="D855" s="2"/>
      <c r="E855" s="2"/>
      <c r="F855" s="2"/>
      <c r="G855" s="2"/>
      <c r="H855" s="2"/>
      <c r="BR855" s="3"/>
      <c r="BS855" s="3"/>
    </row>
    <row r="856" ht="12.0" customHeight="1">
      <c r="A856" s="1"/>
      <c r="D856" s="2"/>
      <c r="E856" s="2"/>
      <c r="F856" s="2"/>
      <c r="G856" s="2"/>
      <c r="H856" s="2"/>
      <c r="BR856" s="3"/>
      <c r="BS856" s="3"/>
    </row>
    <row r="857" ht="12.0" customHeight="1">
      <c r="A857" s="1"/>
      <c r="D857" s="2"/>
      <c r="E857" s="2"/>
      <c r="F857" s="2"/>
      <c r="G857" s="2"/>
      <c r="H857" s="2"/>
      <c r="BR857" s="3"/>
      <c r="BS857" s="3"/>
    </row>
    <row r="858" ht="12.0" customHeight="1">
      <c r="A858" s="1"/>
      <c r="D858" s="2"/>
      <c r="E858" s="2"/>
      <c r="F858" s="2"/>
      <c r="G858" s="2"/>
      <c r="H858" s="2"/>
      <c r="BR858" s="3"/>
      <c r="BS858" s="3"/>
    </row>
    <row r="859" ht="12.0" customHeight="1">
      <c r="A859" s="1"/>
      <c r="D859" s="2"/>
      <c r="E859" s="2"/>
      <c r="F859" s="2"/>
      <c r="G859" s="2"/>
      <c r="H859" s="2"/>
      <c r="BR859" s="3"/>
      <c r="BS859" s="3"/>
    </row>
    <row r="860" ht="12.0" customHeight="1">
      <c r="A860" s="1"/>
      <c r="D860" s="2"/>
      <c r="E860" s="2"/>
      <c r="F860" s="2"/>
      <c r="G860" s="2"/>
      <c r="H860" s="2"/>
      <c r="BR860" s="3"/>
      <c r="BS860" s="3"/>
    </row>
    <row r="861" ht="12.0" customHeight="1">
      <c r="A861" s="1"/>
      <c r="D861" s="2"/>
      <c r="E861" s="2"/>
      <c r="F861" s="2"/>
      <c r="G861" s="2"/>
      <c r="H861" s="2"/>
      <c r="BR861" s="3"/>
      <c r="BS861" s="3"/>
    </row>
    <row r="862" ht="12.0" customHeight="1">
      <c r="A862" s="1"/>
      <c r="D862" s="2"/>
      <c r="E862" s="2"/>
      <c r="F862" s="2"/>
      <c r="G862" s="2"/>
      <c r="H862" s="2"/>
      <c r="BR862" s="3"/>
      <c r="BS862" s="3"/>
    </row>
    <row r="863" ht="12.0" customHeight="1">
      <c r="A863" s="1"/>
      <c r="D863" s="2"/>
      <c r="E863" s="2"/>
      <c r="F863" s="2"/>
      <c r="G863" s="2"/>
      <c r="H863" s="2"/>
      <c r="BR863" s="3"/>
      <c r="BS863" s="3"/>
    </row>
    <row r="864" ht="12.0" customHeight="1">
      <c r="A864" s="1"/>
      <c r="D864" s="2"/>
      <c r="E864" s="2"/>
      <c r="F864" s="2"/>
      <c r="G864" s="2"/>
      <c r="H864" s="2"/>
      <c r="BR864" s="3"/>
      <c r="BS864" s="3"/>
    </row>
    <row r="865" ht="12.0" customHeight="1">
      <c r="A865" s="1"/>
      <c r="D865" s="2"/>
      <c r="E865" s="2"/>
      <c r="F865" s="2"/>
      <c r="G865" s="2"/>
      <c r="H865" s="2"/>
      <c r="BR865" s="3"/>
      <c r="BS865" s="3"/>
    </row>
    <row r="866" ht="12.0" customHeight="1">
      <c r="A866" s="1"/>
      <c r="D866" s="2"/>
      <c r="E866" s="2"/>
      <c r="F866" s="2"/>
      <c r="G866" s="2"/>
      <c r="H866" s="2"/>
      <c r="BR866" s="3"/>
      <c r="BS866" s="3"/>
    </row>
    <row r="867" ht="12.0" customHeight="1">
      <c r="A867" s="1"/>
      <c r="D867" s="2"/>
      <c r="E867" s="2"/>
      <c r="F867" s="2"/>
      <c r="G867" s="2"/>
      <c r="H867" s="2"/>
      <c r="BR867" s="3"/>
      <c r="BS867" s="3"/>
    </row>
    <row r="868" ht="12.0" customHeight="1">
      <c r="A868" s="1"/>
      <c r="D868" s="2"/>
      <c r="E868" s="2"/>
      <c r="F868" s="2"/>
      <c r="G868" s="2"/>
      <c r="H868" s="2"/>
      <c r="BR868" s="3"/>
      <c r="BS868" s="3"/>
    </row>
    <row r="869" ht="12.0" customHeight="1">
      <c r="A869" s="1"/>
      <c r="D869" s="2"/>
      <c r="E869" s="2"/>
      <c r="F869" s="2"/>
      <c r="G869" s="2"/>
      <c r="H869" s="2"/>
      <c r="BR869" s="3"/>
      <c r="BS869" s="3"/>
    </row>
    <row r="870" ht="12.0" customHeight="1">
      <c r="A870" s="1"/>
      <c r="D870" s="2"/>
      <c r="E870" s="2"/>
      <c r="F870" s="2"/>
      <c r="G870" s="2"/>
      <c r="H870" s="2"/>
      <c r="BR870" s="3"/>
      <c r="BS870" s="3"/>
    </row>
    <row r="871" ht="12.0" customHeight="1">
      <c r="A871" s="1"/>
      <c r="D871" s="2"/>
      <c r="E871" s="2"/>
      <c r="F871" s="2"/>
      <c r="G871" s="2"/>
      <c r="H871" s="2"/>
      <c r="BR871" s="3"/>
      <c r="BS871" s="3"/>
    </row>
    <row r="872" ht="12.0" customHeight="1">
      <c r="A872" s="1"/>
      <c r="D872" s="2"/>
      <c r="E872" s="2"/>
      <c r="F872" s="2"/>
      <c r="G872" s="2"/>
      <c r="H872" s="2"/>
      <c r="BR872" s="3"/>
      <c r="BS872" s="3"/>
    </row>
    <row r="873" ht="12.0" customHeight="1">
      <c r="A873" s="1"/>
      <c r="D873" s="2"/>
      <c r="E873" s="2"/>
      <c r="F873" s="2"/>
      <c r="G873" s="2"/>
      <c r="H873" s="2"/>
      <c r="BR873" s="3"/>
      <c r="BS873" s="3"/>
    </row>
    <row r="874" ht="12.0" customHeight="1">
      <c r="A874" s="1"/>
      <c r="D874" s="2"/>
      <c r="E874" s="2"/>
      <c r="F874" s="2"/>
      <c r="G874" s="2"/>
      <c r="H874" s="2"/>
      <c r="BR874" s="3"/>
      <c r="BS874" s="3"/>
    </row>
    <row r="875" ht="12.0" customHeight="1">
      <c r="A875" s="1"/>
      <c r="D875" s="2"/>
      <c r="E875" s="2"/>
      <c r="F875" s="2"/>
      <c r="G875" s="2"/>
      <c r="H875" s="2"/>
      <c r="BR875" s="3"/>
      <c r="BS875" s="3"/>
    </row>
    <row r="876" ht="12.0" customHeight="1">
      <c r="A876" s="1"/>
      <c r="D876" s="2"/>
      <c r="E876" s="2"/>
      <c r="F876" s="2"/>
      <c r="G876" s="2"/>
      <c r="H876" s="2"/>
      <c r="BR876" s="3"/>
      <c r="BS876" s="3"/>
    </row>
    <row r="877" ht="12.0" customHeight="1">
      <c r="A877" s="1"/>
      <c r="D877" s="2"/>
      <c r="E877" s="2"/>
      <c r="F877" s="2"/>
      <c r="G877" s="2"/>
      <c r="H877" s="2"/>
      <c r="BR877" s="3"/>
      <c r="BS877" s="3"/>
    </row>
    <row r="878" ht="12.0" customHeight="1">
      <c r="A878" s="1"/>
      <c r="D878" s="2"/>
      <c r="E878" s="2"/>
      <c r="F878" s="2"/>
      <c r="G878" s="2"/>
      <c r="H878" s="2"/>
      <c r="BR878" s="3"/>
      <c r="BS878" s="3"/>
    </row>
    <row r="879" ht="12.0" customHeight="1">
      <c r="A879" s="1"/>
      <c r="D879" s="2"/>
      <c r="E879" s="2"/>
      <c r="F879" s="2"/>
      <c r="G879" s="2"/>
      <c r="H879" s="2"/>
      <c r="BR879" s="3"/>
      <c r="BS879" s="3"/>
    </row>
    <row r="880" ht="12.0" customHeight="1">
      <c r="A880" s="1"/>
      <c r="D880" s="2"/>
      <c r="E880" s="2"/>
      <c r="F880" s="2"/>
      <c r="G880" s="2"/>
      <c r="H880" s="2"/>
      <c r="BR880" s="3"/>
      <c r="BS880" s="3"/>
    </row>
    <row r="881" ht="12.0" customHeight="1">
      <c r="A881" s="1"/>
      <c r="D881" s="2"/>
      <c r="E881" s="2"/>
      <c r="F881" s="2"/>
      <c r="G881" s="2"/>
      <c r="H881" s="2"/>
      <c r="BR881" s="3"/>
      <c r="BS881" s="3"/>
    </row>
    <row r="882" ht="12.0" customHeight="1">
      <c r="A882" s="1"/>
      <c r="D882" s="2"/>
      <c r="E882" s="2"/>
      <c r="F882" s="2"/>
      <c r="G882" s="2"/>
      <c r="H882" s="2"/>
      <c r="BR882" s="3"/>
      <c r="BS882" s="3"/>
    </row>
    <row r="883" ht="12.0" customHeight="1">
      <c r="A883" s="1"/>
      <c r="D883" s="2"/>
      <c r="E883" s="2"/>
      <c r="F883" s="2"/>
      <c r="G883" s="2"/>
      <c r="H883" s="2"/>
      <c r="BR883" s="3"/>
      <c r="BS883" s="3"/>
    </row>
    <row r="884" ht="12.0" customHeight="1">
      <c r="A884" s="1"/>
      <c r="D884" s="2"/>
      <c r="E884" s="2"/>
      <c r="F884" s="2"/>
      <c r="G884" s="2"/>
      <c r="H884" s="2"/>
      <c r="BR884" s="3"/>
      <c r="BS884" s="3"/>
    </row>
    <row r="885" ht="12.0" customHeight="1">
      <c r="A885" s="1"/>
      <c r="D885" s="2"/>
      <c r="E885" s="2"/>
      <c r="F885" s="2"/>
      <c r="G885" s="2"/>
      <c r="H885" s="2"/>
      <c r="BR885" s="3"/>
      <c r="BS885" s="3"/>
    </row>
    <row r="886" ht="12.0" customHeight="1">
      <c r="A886" s="1"/>
      <c r="D886" s="2"/>
      <c r="E886" s="2"/>
      <c r="F886" s="2"/>
      <c r="G886" s="2"/>
      <c r="H886" s="2"/>
      <c r="BR886" s="3"/>
      <c r="BS886" s="3"/>
    </row>
    <row r="887" ht="12.0" customHeight="1">
      <c r="A887" s="1"/>
      <c r="D887" s="2"/>
      <c r="E887" s="2"/>
      <c r="F887" s="2"/>
      <c r="G887" s="2"/>
      <c r="H887" s="2"/>
      <c r="BR887" s="3"/>
      <c r="BS887" s="3"/>
    </row>
    <row r="888" ht="12.0" customHeight="1">
      <c r="A888" s="1"/>
      <c r="D888" s="2"/>
      <c r="E888" s="2"/>
      <c r="F888" s="2"/>
      <c r="G888" s="2"/>
      <c r="H888" s="2"/>
      <c r="BR888" s="3"/>
      <c r="BS888" s="3"/>
    </row>
    <row r="889" ht="12.0" customHeight="1">
      <c r="A889" s="1"/>
      <c r="D889" s="2"/>
      <c r="E889" s="2"/>
      <c r="F889" s="2"/>
      <c r="G889" s="2"/>
      <c r="H889" s="2"/>
      <c r="BR889" s="3"/>
      <c r="BS889" s="3"/>
    </row>
    <row r="890" ht="12.0" customHeight="1">
      <c r="A890" s="1"/>
      <c r="D890" s="2"/>
      <c r="E890" s="2"/>
      <c r="F890" s="2"/>
      <c r="G890" s="2"/>
      <c r="H890" s="2"/>
      <c r="BR890" s="3"/>
      <c r="BS890" s="3"/>
    </row>
    <row r="891" ht="12.0" customHeight="1">
      <c r="A891" s="1"/>
      <c r="D891" s="2"/>
      <c r="E891" s="2"/>
      <c r="F891" s="2"/>
      <c r="G891" s="2"/>
      <c r="H891" s="2"/>
      <c r="BR891" s="3"/>
      <c r="BS891" s="3"/>
    </row>
    <row r="892" ht="12.0" customHeight="1">
      <c r="A892" s="1"/>
      <c r="D892" s="2"/>
      <c r="E892" s="2"/>
      <c r="F892" s="2"/>
      <c r="G892" s="2"/>
      <c r="H892" s="2"/>
      <c r="BR892" s="3"/>
      <c r="BS892" s="3"/>
    </row>
    <row r="893" ht="12.0" customHeight="1">
      <c r="A893" s="1"/>
      <c r="D893" s="2"/>
      <c r="E893" s="2"/>
      <c r="F893" s="2"/>
      <c r="G893" s="2"/>
      <c r="H893" s="2"/>
      <c r="BR893" s="3"/>
      <c r="BS893" s="3"/>
    </row>
    <row r="894" ht="12.0" customHeight="1">
      <c r="A894" s="1"/>
      <c r="D894" s="2"/>
      <c r="E894" s="2"/>
      <c r="F894" s="2"/>
      <c r="G894" s="2"/>
      <c r="H894" s="2"/>
      <c r="BR894" s="3"/>
      <c r="BS894" s="3"/>
    </row>
    <row r="895" ht="12.0" customHeight="1">
      <c r="A895" s="1"/>
      <c r="D895" s="2"/>
      <c r="E895" s="2"/>
      <c r="F895" s="2"/>
      <c r="G895" s="2"/>
      <c r="H895" s="2"/>
      <c r="BR895" s="3"/>
      <c r="BS895" s="3"/>
    </row>
    <row r="896" ht="12.0" customHeight="1">
      <c r="A896" s="1"/>
      <c r="D896" s="2"/>
      <c r="E896" s="2"/>
      <c r="F896" s="2"/>
      <c r="G896" s="2"/>
      <c r="H896" s="2"/>
      <c r="BR896" s="3"/>
      <c r="BS896" s="3"/>
    </row>
    <row r="897" ht="12.0" customHeight="1">
      <c r="A897" s="1"/>
      <c r="D897" s="2"/>
      <c r="E897" s="2"/>
      <c r="F897" s="2"/>
      <c r="G897" s="2"/>
      <c r="H897" s="2"/>
      <c r="BR897" s="3"/>
      <c r="BS897" s="3"/>
    </row>
    <row r="898" ht="12.0" customHeight="1">
      <c r="A898" s="1"/>
      <c r="D898" s="2"/>
      <c r="E898" s="2"/>
      <c r="F898" s="2"/>
      <c r="G898" s="2"/>
      <c r="H898" s="2"/>
      <c r="BR898" s="3"/>
      <c r="BS898" s="3"/>
    </row>
    <row r="899" ht="12.0" customHeight="1">
      <c r="A899" s="1"/>
      <c r="D899" s="2"/>
      <c r="E899" s="2"/>
      <c r="F899" s="2"/>
      <c r="G899" s="2"/>
      <c r="H899" s="2"/>
      <c r="BR899" s="3"/>
      <c r="BS899" s="3"/>
    </row>
    <row r="900" ht="12.0" customHeight="1">
      <c r="A900" s="1"/>
      <c r="D900" s="2"/>
      <c r="E900" s="2"/>
      <c r="F900" s="2"/>
      <c r="G900" s="2"/>
      <c r="H900" s="2"/>
      <c r="BR900" s="3"/>
      <c r="BS900" s="3"/>
    </row>
    <row r="901" ht="12.0" customHeight="1">
      <c r="A901" s="1"/>
      <c r="D901" s="2"/>
      <c r="E901" s="2"/>
      <c r="F901" s="2"/>
      <c r="G901" s="2"/>
      <c r="H901" s="2"/>
      <c r="BR901" s="3"/>
      <c r="BS901" s="3"/>
    </row>
    <row r="902" ht="12.0" customHeight="1">
      <c r="A902" s="1"/>
      <c r="D902" s="2"/>
      <c r="E902" s="2"/>
      <c r="F902" s="2"/>
      <c r="G902" s="2"/>
      <c r="H902" s="2"/>
      <c r="BR902" s="3"/>
      <c r="BS902" s="3"/>
    </row>
    <row r="903" ht="12.0" customHeight="1">
      <c r="A903" s="1"/>
      <c r="D903" s="2"/>
      <c r="E903" s="2"/>
      <c r="F903" s="2"/>
      <c r="G903" s="2"/>
      <c r="H903" s="2"/>
      <c r="BR903" s="3"/>
      <c r="BS903" s="3"/>
    </row>
    <row r="904" ht="12.0" customHeight="1">
      <c r="A904" s="1"/>
      <c r="D904" s="2"/>
      <c r="E904" s="2"/>
      <c r="F904" s="2"/>
      <c r="G904" s="2"/>
      <c r="H904" s="2"/>
      <c r="BR904" s="3"/>
      <c r="BS904" s="3"/>
    </row>
    <row r="905" ht="12.0" customHeight="1">
      <c r="A905" s="1"/>
      <c r="D905" s="2"/>
      <c r="E905" s="2"/>
      <c r="F905" s="2"/>
      <c r="G905" s="2"/>
      <c r="H905" s="2"/>
      <c r="BR905" s="3"/>
      <c r="BS905" s="3"/>
    </row>
    <row r="906" ht="12.0" customHeight="1">
      <c r="A906" s="1"/>
      <c r="D906" s="2"/>
      <c r="E906" s="2"/>
      <c r="F906" s="2"/>
      <c r="G906" s="2"/>
      <c r="H906" s="2"/>
      <c r="BR906" s="3"/>
      <c r="BS906" s="3"/>
    </row>
    <row r="907" ht="12.0" customHeight="1">
      <c r="A907" s="1"/>
      <c r="D907" s="2"/>
      <c r="E907" s="2"/>
      <c r="F907" s="2"/>
      <c r="G907" s="2"/>
      <c r="H907" s="2"/>
      <c r="BR907" s="3"/>
      <c r="BS907" s="3"/>
    </row>
    <row r="908" ht="12.0" customHeight="1">
      <c r="A908" s="1"/>
      <c r="D908" s="2"/>
      <c r="E908" s="2"/>
      <c r="F908" s="2"/>
      <c r="G908" s="2"/>
      <c r="H908" s="2"/>
      <c r="BR908" s="3"/>
      <c r="BS908" s="3"/>
    </row>
    <row r="909" ht="12.0" customHeight="1">
      <c r="A909" s="1"/>
      <c r="D909" s="2"/>
      <c r="E909" s="2"/>
      <c r="F909" s="2"/>
      <c r="G909" s="2"/>
      <c r="H909" s="2"/>
      <c r="BR909" s="3"/>
      <c r="BS909" s="3"/>
    </row>
    <row r="910" ht="12.0" customHeight="1">
      <c r="A910" s="1"/>
      <c r="D910" s="2"/>
      <c r="E910" s="2"/>
      <c r="F910" s="2"/>
      <c r="G910" s="2"/>
      <c r="H910" s="2"/>
      <c r="BR910" s="3"/>
      <c r="BS910" s="3"/>
    </row>
    <row r="911" ht="12.0" customHeight="1">
      <c r="A911" s="1"/>
      <c r="D911" s="2"/>
      <c r="E911" s="2"/>
      <c r="F911" s="2"/>
      <c r="G911" s="2"/>
      <c r="H911" s="2"/>
      <c r="BR911" s="3"/>
      <c r="BS911" s="3"/>
    </row>
    <row r="912" ht="12.0" customHeight="1">
      <c r="A912" s="1"/>
      <c r="D912" s="2"/>
      <c r="E912" s="2"/>
      <c r="F912" s="2"/>
      <c r="G912" s="2"/>
      <c r="H912" s="2"/>
      <c r="BR912" s="3"/>
      <c r="BS912" s="3"/>
    </row>
    <row r="913" ht="12.0" customHeight="1">
      <c r="A913" s="1"/>
      <c r="D913" s="2"/>
      <c r="E913" s="2"/>
      <c r="F913" s="2"/>
      <c r="G913" s="2"/>
      <c r="H913" s="2"/>
      <c r="BR913" s="3"/>
      <c r="BS913" s="3"/>
    </row>
    <row r="914" ht="12.0" customHeight="1">
      <c r="A914" s="1"/>
      <c r="D914" s="2"/>
      <c r="E914" s="2"/>
      <c r="F914" s="2"/>
      <c r="G914" s="2"/>
      <c r="H914" s="2"/>
      <c r="BR914" s="3"/>
      <c r="BS914" s="3"/>
    </row>
    <row r="915" ht="12.0" customHeight="1">
      <c r="A915" s="1"/>
      <c r="D915" s="2"/>
      <c r="E915" s="2"/>
      <c r="F915" s="2"/>
      <c r="G915" s="2"/>
      <c r="H915" s="2"/>
      <c r="BR915" s="3"/>
      <c r="BS915" s="3"/>
    </row>
    <row r="916" ht="12.0" customHeight="1">
      <c r="A916" s="1"/>
      <c r="D916" s="2"/>
      <c r="E916" s="2"/>
      <c r="F916" s="2"/>
      <c r="G916" s="2"/>
      <c r="H916" s="2"/>
      <c r="BR916" s="3"/>
      <c r="BS916" s="3"/>
    </row>
    <row r="917" ht="12.0" customHeight="1">
      <c r="A917" s="1"/>
      <c r="D917" s="2"/>
      <c r="E917" s="2"/>
      <c r="F917" s="2"/>
      <c r="G917" s="2"/>
      <c r="H917" s="2"/>
      <c r="BR917" s="3"/>
      <c r="BS917" s="3"/>
    </row>
    <row r="918" ht="12.0" customHeight="1">
      <c r="A918" s="1"/>
      <c r="D918" s="2"/>
      <c r="E918" s="2"/>
      <c r="F918" s="2"/>
      <c r="G918" s="2"/>
      <c r="H918" s="2"/>
      <c r="BR918" s="3"/>
      <c r="BS918" s="3"/>
    </row>
    <row r="919" ht="12.0" customHeight="1">
      <c r="A919" s="1"/>
      <c r="D919" s="2"/>
      <c r="E919" s="2"/>
      <c r="F919" s="2"/>
      <c r="G919" s="2"/>
      <c r="H919" s="2"/>
      <c r="BR919" s="3"/>
      <c r="BS919" s="3"/>
    </row>
    <row r="920" ht="12.0" customHeight="1">
      <c r="A920" s="1"/>
      <c r="D920" s="2"/>
      <c r="E920" s="2"/>
      <c r="F920" s="2"/>
      <c r="G920" s="2"/>
      <c r="H920" s="2"/>
      <c r="BR920" s="3"/>
      <c r="BS920" s="3"/>
    </row>
    <row r="921" ht="12.0" customHeight="1">
      <c r="A921" s="1"/>
      <c r="D921" s="2"/>
      <c r="E921" s="2"/>
      <c r="F921" s="2"/>
      <c r="G921" s="2"/>
      <c r="H921" s="2"/>
      <c r="BR921" s="3"/>
      <c r="BS921" s="3"/>
    </row>
    <row r="922" ht="12.0" customHeight="1">
      <c r="A922" s="1"/>
      <c r="D922" s="2"/>
      <c r="E922" s="2"/>
      <c r="F922" s="2"/>
      <c r="G922" s="2"/>
      <c r="H922" s="2"/>
      <c r="BR922" s="3"/>
      <c r="BS922" s="3"/>
    </row>
    <row r="923" ht="12.0" customHeight="1">
      <c r="A923" s="1"/>
      <c r="D923" s="2"/>
      <c r="E923" s="2"/>
      <c r="F923" s="2"/>
      <c r="G923" s="2"/>
      <c r="H923" s="2"/>
      <c r="BR923" s="3"/>
      <c r="BS923" s="3"/>
    </row>
    <row r="924" ht="12.0" customHeight="1">
      <c r="A924" s="1"/>
      <c r="D924" s="2"/>
      <c r="E924" s="2"/>
      <c r="F924" s="2"/>
      <c r="G924" s="2"/>
      <c r="H924" s="2"/>
      <c r="BR924" s="3"/>
      <c r="BS924" s="3"/>
    </row>
    <row r="925" ht="12.0" customHeight="1">
      <c r="A925" s="1"/>
      <c r="D925" s="2"/>
      <c r="E925" s="2"/>
      <c r="F925" s="2"/>
      <c r="G925" s="2"/>
      <c r="H925" s="2"/>
      <c r="BR925" s="3"/>
      <c r="BS925" s="3"/>
    </row>
    <row r="926" ht="12.0" customHeight="1">
      <c r="A926" s="1"/>
      <c r="D926" s="2"/>
      <c r="E926" s="2"/>
      <c r="F926" s="2"/>
      <c r="G926" s="2"/>
      <c r="H926" s="2"/>
      <c r="BR926" s="3"/>
      <c r="BS926" s="3"/>
    </row>
    <row r="927" ht="12.0" customHeight="1">
      <c r="A927" s="1"/>
      <c r="D927" s="2"/>
      <c r="E927" s="2"/>
      <c r="F927" s="2"/>
      <c r="G927" s="2"/>
      <c r="H927" s="2"/>
      <c r="BR927" s="3"/>
      <c r="BS927" s="3"/>
    </row>
    <row r="928" ht="12.0" customHeight="1">
      <c r="A928" s="1"/>
      <c r="D928" s="2"/>
      <c r="E928" s="2"/>
      <c r="F928" s="2"/>
      <c r="G928" s="2"/>
      <c r="H928" s="2"/>
      <c r="BR928" s="3"/>
      <c r="BS928" s="3"/>
    </row>
    <row r="929" ht="12.0" customHeight="1">
      <c r="A929" s="1"/>
      <c r="D929" s="2"/>
      <c r="E929" s="2"/>
      <c r="F929" s="2"/>
      <c r="G929" s="2"/>
      <c r="H929" s="2"/>
      <c r="BR929" s="3"/>
      <c r="BS929" s="3"/>
    </row>
    <row r="930" ht="12.0" customHeight="1">
      <c r="A930" s="1"/>
      <c r="D930" s="2"/>
      <c r="E930" s="2"/>
      <c r="F930" s="2"/>
      <c r="G930" s="2"/>
      <c r="H930" s="2"/>
      <c r="BR930" s="3"/>
      <c r="BS930" s="3"/>
    </row>
    <row r="931" ht="12.0" customHeight="1">
      <c r="A931" s="1"/>
      <c r="D931" s="2"/>
      <c r="E931" s="2"/>
      <c r="F931" s="2"/>
      <c r="G931" s="2"/>
      <c r="H931" s="2"/>
      <c r="BR931" s="3"/>
      <c r="BS931" s="3"/>
    </row>
    <row r="932" ht="12.0" customHeight="1">
      <c r="A932" s="1"/>
      <c r="D932" s="2"/>
      <c r="E932" s="2"/>
      <c r="F932" s="2"/>
      <c r="G932" s="2"/>
      <c r="H932" s="2"/>
      <c r="BR932" s="3"/>
      <c r="BS932" s="3"/>
    </row>
    <row r="933" ht="12.0" customHeight="1">
      <c r="A933" s="1"/>
      <c r="D933" s="2"/>
      <c r="E933" s="2"/>
      <c r="F933" s="2"/>
      <c r="G933" s="2"/>
      <c r="H933" s="2"/>
      <c r="BR933" s="3"/>
      <c r="BS933" s="3"/>
    </row>
    <row r="934" ht="12.0" customHeight="1">
      <c r="A934" s="1"/>
      <c r="D934" s="2"/>
      <c r="E934" s="2"/>
      <c r="F934" s="2"/>
      <c r="G934" s="2"/>
      <c r="H934" s="2"/>
      <c r="BR934" s="3"/>
      <c r="BS934" s="3"/>
    </row>
    <row r="935" ht="12.0" customHeight="1">
      <c r="A935" s="1"/>
      <c r="D935" s="2"/>
      <c r="E935" s="2"/>
      <c r="F935" s="2"/>
      <c r="G935" s="2"/>
      <c r="H935" s="2"/>
      <c r="BR935" s="3"/>
      <c r="BS935" s="3"/>
    </row>
    <row r="936" ht="12.0" customHeight="1">
      <c r="A936" s="1"/>
      <c r="D936" s="2"/>
      <c r="E936" s="2"/>
      <c r="F936" s="2"/>
      <c r="G936" s="2"/>
      <c r="H936" s="2"/>
      <c r="BR936" s="3"/>
      <c r="BS936" s="3"/>
    </row>
    <row r="937" ht="12.0" customHeight="1">
      <c r="A937" s="1"/>
      <c r="D937" s="2"/>
      <c r="E937" s="2"/>
      <c r="F937" s="2"/>
      <c r="G937" s="2"/>
      <c r="H937" s="2"/>
      <c r="BR937" s="3"/>
      <c r="BS937" s="3"/>
    </row>
    <row r="938" ht="12.0" customHeight="1">
      <c r="A938" s="1"/>
      <c r="D938" s="2"/>
      <c r="E938" s="2"/>
      <c r="F938" s="2"/>
      <c r="G938" s="2"/>
      <c r="H938" s="2"/>
      <c r="BR938" s="3"/>
      <c r="BS938" s="3"/>
    </row>
    <row r="939" ht="12.0" customHeight="1">
      <c r="A939" s="1"/>
      <c r="D939" s="2"/>
      <c r="E939" s="2"/>
      <c r="F939" s="2"/>
      <c r="G939" s="2"/>
      <c r="H939" s="2"/>
      <c r="BR939" s="3"/>
      <c r="BS939" s="3"/>
    </row>
    <row r="940" ht="12.0" customHeight="1">
      <c r="A940" s="1"/>
      <c r="D940" s="2"/>
      <c r="E940" s="2"/>
      <c r="F940" s="2"/>
      <c r="G940" s="2"/>
      <c r="H940" s="2"/>
      <c r="BR940" s="3"/>
      <c r="BS940" s="3"/>
    </row>
    <row r="941" ht="12.0" customHeight="1">
      <c r="A941" s="1"/>
      <c r="D941" s="2"/>
      <c r="E941" s="2"/>
      <c r="F941" s="2"/>
      <c r="G941" s="2"/>
      <c r="H941" s="2"/>
      <c r="BR941" s="3"/>
      <c r="BS941" s="3"/>
    </row>
    <row r="942" ht="12.0" customHeight="1">
      <c r="A942" s="1"/>
      <c r="D942" s="2"/>
      <c r="E942" s="2"/>
      <c r="F942" s="2"/>
      <c r="G942" s="2"/>
      <c r="H942" s="2"/>
      <c r="BR942" s="3"/>
      <c r="BS942" s="3"/>
    </row>
    <row r="943" ht="12.0" customHeight="1">
      <c r="A943" s="1"/>
      <c r="D943" s="2"/>
      <c r="E943" s="2"/>
      <c r="F943" s="2"/>
      <c r="G943" s="2"/>
      <c r="H943" s="2"/>
      <c r="BR943" s="3"/>
      <c r="BS943" s="3"/>
    </row>
    <row r="944" ht="12.0" customHeight="1">
      <c r="A944" s="1"/>
      <c r="D944" s="2"/>
      <c r="E944" s="2"/>
      <c r="F944" s="2"/>
      <c r="G944" s="2"/>
      <c r="H944" s="2"/>
      <c r="BR944" s="3"/>
      <c r="BS944" s="3"/>
    </row>
    <row r="945" ht="12.0" customHeight="1">
      <c r="A945" s="1"/>
      <c r="D945" s="2"/>
      <c r="E945" s="2"/>
      <c r="F945" s="2"/>
      <c r="G945" s="2"/>
      <c r="H945" s="2"/>
      <c r="BR945" s="3"/>
      <c r="BS945" s="3"/>
    </row>
    <row r="946" ht="12.0" customHeight="1">
      <c r="A946" s="1"/>
      <c r="D946" s="2"/>
      <c r="E946" s="2"/>
      <c r="F946" s="2"/>
      <c r="G946" s="2"/>
      <c r="H946" s="2"/>
      <c r="BR946" s="3"/>
      <c r="BS946" s="3"/>
    </row>
    <row r="947" ht="12.0" customHeight="1">
      <c r="A947" s="1"/>
      <c r="D947" s="2"/>
      <c r="E947" s="2"/>
      <c r="F947" s="2"/>
      <c r="G947" s="2"/>
      <c r="H947" s="2"/>
      <c r="BR947" s="3"/>
      <c r="BS947" s="3"/>
    </row>
    <row r="948" ht="12.0" customHeight="1">
      <c r="A948" s="1"/>
      <c r="D948" s="2"/>
      <c r="E948" s="2"/>
      <c r="F948" s="2"/>
      <c r="G948" s="2"/>
      <c r="H948" s="2"/>
      <c r="BR948" s="3"/>
      <c r="BS948" s="3"/>
    </row>
    <row r="949" ht="12.0" customHeight="1">
      <c r="A949" s="1"/>
      <c r="D949" s="2"/>
      <c r="E949" s="2"/>
      <c r="F949" s="2"/>
      <c r="G949" s="2"/>
      <c r="H949" s="2"/>
      <c r="BR949" s="3"/>
      <c r="BS949" s="3"/>
    </row>
    <row r="950" ht="12.0" customHeight="1">
      <c r="A950" s="1"/>
      <c r="D950" s="2"/>
      <c r="E950" s="2"/>
      <c r="F950" s="2"/>
      <c r="G950" s="2"/>
      <c r="H950" s="2"/>
      <c r="BR950" s="3"/>
      <c r="BS950" s="3"/>
    </row>
    <row r="951" ht="12.0" customHeight="1">
      <c r="A951" s="1"/>
      <c r="D951" s="2"/>
      <c r="E951" s="2"/>
      <c r="F951" s="2"/>
      <c r="G951" s="2"/>
      <c r="H951" s="2"/>
      <c r="BR951" s="3"/>
      <c r="BS951" s="3"/>
    </row>
    <row r="952" ht="12.0" customHeight="1">
      <c r="A952" s="1"/>
      <c r="D952" s="2"/>
      <c r="E952" s="2"/>
      <c r="F952" s="2"/>
      <c r="G952" s="2"/>
      <c r="H952" s="2"/>
      <c r="BR952" s="3"/>
      <c r="BS952" s="3"/>
    </row>
    <row r="953" ht="12.0" customHeight="1">
      <c r="A953" s="1"/>
      <c r="D953" s="2"/>
      <c r="E953" s="2"/>
      <c r="F953" s="2"/>
      <c r="G953" s="2"/>
      <c r="H953" s="2"/>
      <c r="BR953" s="3"/>
      <c r="BS953" s="3"/>
    </row>
    <row r="954" ht="12.0" customHeight="1">
      <c r="A954" s="1"/>
      <c r="D954" s="2"/>
      <c r="E954" s="2"/>
      <c r="F954" s="2"/>
      <c r="G954" s="2"/>
      <c r="H954" s="2"/>
      <c r="BR954" s="3"/>
      <c r="BS954" s="3"/>
    </row>
    <row r="955" ht="12.0" customHeight="1">
      <c r="A955" s="1"/>
      <c r="D955" s="2"/>
      <c r="E955" s="2"/>
      <c r="F955" s="2"/>
      <c r="G955" s="2"/>
      <c r="H955" s="2"/>
      <c r="BR955" s="3"/>
      <c r="BS955" s="3"/>
    </row>
    <row r="956" ht="12.0" customHeight="1">
      <c r="A956" s="1"/>
      <c r="D956" s="2"/>
      <c r="E956" s="2"/>
      <c r="F956" s="2"/>
      <c r="G956" s="2"/>
      <c r="H956" s="2"/>
      <c r="BR956" s="3"/>
      <c r="BS956" s="3"/>
    </row>
    <row r="957" ht="12.0" customHeight="1">
      <c r="A957" s="1"/>
      <c r="D957" s="2"/>
      <c r="E957" s="2"/>
      <c r="F957" s="2"/>
      <c r="G957" s="2"/>
      <c r="H957" s="2"/>
      <c r="BR957" s="3"/>
      <c r="BS957" s="3"/>
    </row>
    <row r="958" ht="12.0" customHeight="1">
      <c r="A958" s="1"/>
      <c r="D958" s="2"/>
      <c r="E958" s="2"/>
      <c r="F958" s="2"/>
      <c r="G958" s="2"/>
      <c r="H958" s="2"/>
      <c r="BR958" s="3"/>
      <c r="BS958" s="3"/>
    </row>
    <row r="959" ht="12.0" customHeight="1">
      <c r="A959" s="1"/>
      <c r="D959" s="2"/>
      <c r="E959" s="2"/>
      <c r="F959" s="2"/>
      <c r="G959" s="2"/>
      <c r="H959" s="2"/>
      <c r="BR959" s="3"/>
      <c r="BS959" s="3"/>
    </row>
    <row r="960" ht="12.0" customHeight="1">
      <c r="A960" s="1"/>
      <c r="D960" s="2"/>
      <c r="E960" s="2"/>
      <c r="F960" s="2"/>
      <c r="G960" s="2"/>
      <c r="H960" s="2"/>
      <c r="BR960" s="3"/>
      <c r="BS960" s="3"/>
    </row>
    <row r="961" ht="12.0" customHeight="1">
      <c r="A961" s="1"/>
      <c r="D961" s="2"/>
      <c r="E961" s="2"/>
      <c r="F961" s="2"/>
      <c r="G961" s="2"/>
      <c r="H961" s="2"/>
      <c r="BR961" s="3"/>
      <c r="BS961" s="3"/>
    </row>
    <row r="962" ht="12.0" customHeight="1">
      <c r="A962" s="1"/>
      <c r="D962" s="2"/>
      <c r="E962" s="2"/>
      <c r="F962" s="2"/>
      <c r="G962" s="2"/>
      <c r="H962" s="2"/>
      <c r="BR962" s="3"/>
      <c r="BS962" s="3"/>
    </row>
    <row r="963" ht="12.0" customHeight="1">
      <c r="A963" s="1"/>
      <c r="D963" s="2"/>
      <c r="E963" s="2"/>
      <c r="F963" s="2"/>
      <c r="G963" s="2"/>
      <c r="H963" s="2"/>
      <c r="BR963" s="3"/>
      <c r="BS963" s="3"/>
    </row>
    <row r="964" ht="12.0" customHeight="1">
      <c r="A964" s="1"/>
      <c r="D964" s="2"/>
      <c r="E964" s="2"/>
      <c r="F964" s="2"/>
      <c r="G964" s="2"/>
      <c r="H964" s="2"/>
      <c r="BR964" s="3"/>
      <c r="BS964" s="3"/>
    </row>
    <row r="965" ht="12.0" customHeight="1">
      <c r="A965" s="1"/>
      <c r="D965" s="2"/>
      <c r="E965" s="2"/>
      <c r="F965" s="2"/>
      <c r="G965" s="2"/>
      <c r="H965" s="2"/>
      <c r="BR965" s="3"/>
      <c r="BS965" s="3"/>
    </row>
    <row r="966" ht="12.0" customHeight="1">
      <c r="A966" s="1"/>
      <c r="D966" s="2"/>
      <c r="E966" s="2"/>
      <c r="F966" s="2"/>
      <c r="G966" s="2"/>
      <c r="H966" s="2"/>
      <c r="BR966" s="3"/>
      <c r="BS966" s="3"/>
    </row>
    <row r="967" ht="12.0" customHeight="1">
      <c r="A967" s="1"/>
      <c r="D967" s="2"/>
      <c r="E967" s="2"/>
      <c r="F967" s="2"/>
      <c r="G967" s="2"/>
      <c r="H967" s="2"/>
      <c r="BR967" s="3"/>
      <c r="BS967" s="3"/>
    </row>
    <row r="968" ht="12.0" customHeight="1">
      <c r="A968" s="1"/>
      <c r="D968" s="2"/>
      <c r="E968" s="2"/>
      <c r="F968" s="2"/>
      <c r="G968" s="2"/>
      <c r="H968" s="2"/>
      <c r="BR968" s="3"/>
      <c r="BS968" s="3"/>
    </row>
    <row r="969" ht="12.0" customHeight="1">
      <c r="A969" s="1"/>
      <c r="D969" s="2"/>
      <c r="E969" s="2"/>
      <c r="F969" s="2"/>
      <c r="G969" s="2"/>
      <c r="H969" s="2"/>
      <c r="BR969" s="3"/>
      <c r="BS969" s="3"/>
    </row>
    <row r="970" ht="12.0" customHeight="1">
      <c r="A970" s="1"/>
      <c r="D970" s="2"/>
      <c r="E970" s="2"/>
      <c r="F970" s="2"/>
      <c r="G970" s="2"/>
      <c r="H970" s="2"/>
      <c r="BR970" s="3"/>
      <c r="BS970" s="3"/>
    </row>
    <row r="971" ht="12.0" customHeight="1">
      <c r="A971" s="1"/>
      <c r="D971" s="2"/>
      <c r="E971" s="2"/>
      <c r="F971" s="2"/>
      <c r="G971" s="2"/>
      <c r="H971" s="2"/>
      <c r="BR971" s="3"/>
      <c r="BS971" s="3"/>
    </row>
    <row r="972" ht="12.0" customHeight="1">
      <c r="A972" s="1"/>
      <c r="D972" s="2"/>
      <c r="E972" s="2"/>
      <c r="F972" s="2"/>
      <c r="G972" s="2"/>
      <c r="H972" s="2"/>
      <c r="BR972" s="3"/>
      <c r="BS972" s="3"/>
    </row>
    <row r="973" ht="12.0" customHeight="1">
      <c r="A973" s="1"/>
      <c r="D973" s="2"/>
      <c r="E973" s="2"/>
      <c r="F973" s="2"/>
      <c r="G973" s="2"/>
      <c r="H973" s="2"/>
      <c r="BR973" s="3"/>
      <c r="BS973" s="3"/>
    </row>
    <row r="974" ht="12.0" customHeight="1">
      <c r="A974" s="1"/>
      <c r="D974" s="2"/>
      <c r="E974" s="2"/>
      <c r="F974" s="2"/>
      <c r="G974" s="2"/>
      <c r="H974" s="2"/>
      <c r="BR974" s="3"/>
      <c r="BS974" s="3"/>
    </row>
    <row r="975" ht="12.0" customHeight="1">
      <c r="A975" s="1"/>
      <c r="D975" s="2"/>
      <c r="E975" s="2"/>
      <c r="F975" s="2"/>
      <c r="G975" s="2"/>
      <c r="H975" s="2"/>
      <c r="BR975" s="3"/>
      <c r="BS975" s="3"/>
    </row>
    <row r="976" ht="12.0" customHeight="1">
      <c r="A976" s="1"/>
      <c r="D976" s="2"/>
      <c r="E976" s="2"/>
      <c r="F976" s="2"/>
      <c r="G976" s="2"/>
      <c r="H976" s="2"/>
      <c r="BR976" s="3"/>
      <c r="BS976" s="3"/>
    </row>
    <row r="977" ht="12.0" customHeight="1">
      <c r="A977" s="1"/>
      <c r="D977" s="2"/>
      <c r="E977" s="2"/>
      <c r="F977" s="2"/>
      <c r="G977" s="2"/>
      <c r="H977" s="2"/>
      <c r="BR977" s="3"/>
      <c r="BS977" s="3"/>
    </row>
    <row r="978" ht="12.0" customHeight="1">
      <c r="A978" s="1"/>
      <c r="D978" s="2"/>
      <c r="E978" s="2"/>
      <c r="F978" s="2"/>
      <c r="G978" s="2"/>
      <c r="H978" s="2"/>
      <c r="BR978" s="3"/>
      <c r="BS978" s="3"/>
    </row>
    <row r="979" ht="12.0" customHeight="1">
      <c r="A979" s="1"/>
      <c r="D979" s="2"/>
      <c r="E979" s="2"/>
      <c r="F979" s="2"/>
      <c r="G979" s="2"/>
      <c r="H979" s="2"/>
      <c r="BR979" s="3"/>
      <c r="BS979" s="3"/>
    </row>
    <row r="980" ht="12.0" customHeight="1">
      <c r="A980" s="1"/>
      <c r="D980" s="2"/>
      <c r="E980" s="2"/>
      <c r="F980" s="2"/>
      <c r="G980" s="2"/>
      <c r="H980" s="2"/>
      <c r="BR980" s="3"/>
      <c r="BS980" s="3"/>
    </row>
    <row r="981" ht="12.0" customHeight="1">
      <c r="A981" s="1"/>
      <c r="D981" s="2"/>
      <c r="E981" s="2"/>
      <c r="F981" s="2"/>
      <c r="G981" s="2"/>
      <c r="H981" s="2"/>
      <c r="BR981" s="3"/>
      <c r="BS981" s="3"/>
    </row>
    <row r="982" ht="12.0" customHeight="1">
      <c r="A982" s="1"/>
      <c r="D982" s="2"/>
      <c r="E982" s="2"/>
      <c r="F982" s="2"/>
      <c r="G982" s="2"/>
      <c r="H982" s="2"/>
      <c r="BR982" s="3"/>
      <c r="BS982" s="3"/>
    </row>
    <row r="983" ht="12.0" customHeight="1">
      <c r="A983" s="1"/>
      <c r="D983" s="2"/>
      <c r="E983" s="2"/>
      <c r="F983" s="2"/>
      <c r="G983" s="2"/>
      <c r="H983" s="2"/>
      <c r="BR983" s="3"/>
      <c r="BS983" s="3"/>
    </row>
    <row r="984" ht="12.0" customHeight="1">
      <c r="A984" s="1"/>
      <c r="D984" s="2"/>
      <c r="E984" s="2"/>
      <c r="F984" s="2"/>
      <c r="G984" s="2"/>
      <c r="H984" s="2"/>
      <c r="BR984" s="3"/>
      <c r="BS984" s="3"/>
    </row>
    <row r="985" ht="12.0" customHeight="1">
      <c r="A985" s="1"/>
      <c r="D985" s="2"/>
      <c r="E985" s="2"/>
      <c r="F985" s="2"/>
      <c r="G985" s="2"/>
      <c r="H985" s="2"/>
      <c r="BR985" s="3"/>
      <c r="BS985" s="3"/>
    </row>
    <row r="986" ht="12.0" customHeight="1">
      <c r="A986" s="1"/>
      <c r="D986" s="2"/>
      <c r="E986" s="2"/>
      <c r="F986" s="2"/>
      <c r="G986" s="2"/>
      <c r="H986" s="2"/>
      <c r="BR986" s="3"/>
      <c r="BS986" s="3"/>
    </row>
    <row r="987" ht="12.0" customHeight="1">
      <c r="A987" s="1"/>
      <c r="D987" s="2"/>
      <c r="E987" s="2"/>
      <c r="F987" s="2"/>
      <c r="G987" s="2"/>
      <c r="H987" s="2"/>
      <c r="BR987" s="3"/>
      <c r="BS987" s="3"/>
    </row>
    <row r="988" ht="12.0" customHeight="1">
      <c r="A988" s="1"/>
      <c r="D988" s="2"/>
      <c r="E988" s="2"/>
      <c r="F988" s="2"/>
      <c r="G988" s="2"/>
      <c r="H988" s="2"/>
      <c r="BR988" s="3"/>
      <c r="BS988" s="3"/>
    </row>
    <row r="989" ht="12.0" customHeight="1">
      <c r="A989" s="1"/>
      <c r="D989" s="2"/>
      <c r="E989" s="2"/>
      <c r="F989" s="2"/>
      <c r="G989" s="2"/>
      <c r="H989" s="2"/>
      <c r="BR989" s="3"/>
      <c r="BS989" s="3"/>
    </row>
    <row r="990" ht="12.0" customHeight="1">
      <c r="A990" s="1"/>
      <c r="D990" s="2"/>
      <c r="E990" s="2"/>
      <c r="F990" s="2"/>
      <c r="G990" s="2"/>
      <c r="H990" s="2"/>
      <c r="BR990" s="3"/>
      <c r="BS990" s="3"/>
    </row>
    <row r="991" ht="12.0" customHeight="1">
      <c r="A991" s="1"/>
      <c r="D991" s="2"/>
      <c r="E991" s="2"/>
      <c r="F991" s="2"/>
      <c r="G991" s="2"/>
      <c r="H991" s="2"/>
      <c r="BR991" s="3"/>
      <c r="BS991" s="3"/>
    </row>
    <row r="992" ht="12.0" customHeight="1">
      <c r="A992" s="1"/>
      <c r="D992" s="2"/>
      <c r="E992" s="2"/>
      <c r="F992" s="2"/>
      <c r="G992" s="2"/>
      <c r="H992" s="2"/>
      <c r="BR992" s="3"/>
      <c r="BS992" s="3"/>
    </row>
    <row r="993" ht="12.0" customHeight="1">
      <c r="A993" s="1"/>
      <c r="D993" s="2"/>
      <c r="E993" s="2"/>
      <c r="F993" s="2"/>
      <c r="G993" s="2"/>
      <c r="H993" s="2"/>
      <c r="BR993" s="3"/>
      <c r="BS993" s="3"/>
    </row>
    <row r="994" ht="12.0" customHeight="1">
      <c r="A994" s="1"/>
      <c r="D994" s="2"/>
      <c r="E994" s="2"/>
      <c r="F994" s="2"/>
      <c r="G994" s="2"/>
      <c r="H994" s="2"/>
      <c r="BR994" s="3"/>
      <c r="BS994" s="3"/>
    </row>
    <row r="995" ht="12.0" customHeight="1">
      <c r="A995" s="1"/>
      <c r="D995" s="2"/>
      <c r="E995" s="2"/>
      <c r="F995" s="2"/>
      <c r="G995" s="2"/>
      <c r="H995" s="2"/>
      <c r="BR995" s="3"/>
      <c r="BS995" s="3"/>
    </row>
    <row r="996" ht="12.0" customHeight="1">
      <c r="A996" s="1"/>
      <c r="D996" s="2"/>
      <c r="E996" s="2"/>
      <c r="F996" s="2"/>
      <c r="G996" s="2"/>
      <c r="H996" s="2"/>
      <c r="BR996" s="3"/>
      <c r="BS996" s="3"/>
    </row>
    <row r="997" ht="12.0" customHeight="1">
      <c r="A997" s="1"/>
      <c r="D997" s="2"/>
      <c r="E997" s="2"/>
      <c r="F997" s="2"/>
      <c r="G997" s="2"/>
      <c r="H997" s="2"/>
      <c r="BR997" s="3"/>
      <c r="BS997" s="3"/>
    </row>
    <row r="998" ht="12.0" customHeight="1">
      <c r="A998" s="1"/>
      <c r="D998" s="2"/>
      <c r="E998" s="2"/>
      <c r="F998" s="2"/>
      <c r="G998" s="2"/>
      <c r="H998" s="2"/>
      <c r="BR998" s="3"/>
      <c r="BS998" s="3"/>
    </row>
    <row r="999" ht="12.0" customHeight="1">
      <c r="A999" s="1"/>
      <c r="D999" s="2"/>
      <c r="E999" s="2"/>
      <c r="F999" s="2"/>
      <c r="G999" s="2"/>
      <c r="H999" s="2"/>
      <c r="BR999" s="3"/>
      <c r="BS999" s="3"/>
    </row>
    <row r="1000" ht="12.0" customHeight="1">
      <c r="A1000" s="1"/>
      <c r="D1000" s="2"/>
      <c r="E1000" s="2"/>
      <c r="F1000" s="2"/>
      <c r="G1000" s="2"/>
      <c r="H1000" s="2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20.67"/>
    <col customWidth="1" min="2" max="2" width="13.11"/>
    <col customWidth="1" min="3" max="3" width="19.89"/>
    <col customWidth="1" min="4" max="4" width="9.33"/>
    <col customWidth="1" min="5" max="5" width="9.89"/>
    <col customWidth="1" min="6" max="8" width="9.33"/>
    <col customWidth="1" min="9" max="9" width="8.11"/>
    <col customWidth="1" min="10" max="10" width="7.33"/>
    <col customWidth="1" min="11" max="11" width="7.11"/>
    <col customWidth="1" min="12" max="12" width="8.67"/>
    <col customWidth="1" min="13" max="13" width="8.11"/>
    <col customWidth="1" min="14" max="14" width="7.33"/>
    <col customWidth="1" min="15" max="15" width="7.11"/>
    <col customWidth="1" min="16" max="16" width="7.33"/>
    <col customWidth="1" min="17" max="17" width="7.11"/>
    <col customWidth="1" min="18" max="18" width="7.33"/>
    <col customWidth="1" min="19" max="19" width="7.11"/>
    <col customWidth="1" min="20" max="20" width="7.33"/>
    <col customWidth="1" min="21" max="21" width="7.11"/>
    <col customWidth="1" min="22" max="22" width="7.33"/>
    <col customWidth="1" min="23" max="23" width="7.11"/>
    <col customWidth="1" hidden="1" min="24" max="24" width="7.33"/>
    <col customWidth="1" hidden="1" min="25" max="25" width="7.11"/>
    <col customWidth="1" hidden="1" min="26" max="26" width="7.33"/>
    <col customWidth="1" hidden="1" min="27" max="27" width="7.11"/>
    <col customWidth="1" hidden="1" min="28" max="28" width="7.33"/>
    <col customWidth="1" hidden="1" min="29" max="29" width="7.11"/>
    <col customWidth="1" hidden="1" min="30" max="30" width="7.33"/>
    <col customWidth="1" hidden="1" min="31" max="31" width="7.11"/>
    <col customWidth="1" hidden="1" min="32" max="32" width="7.33"/>
    <col customWidth="1" hidden="1" min="33" max="33" width="7.11"/>
    <col customWidth="1" hidden="1" min="34" max="34" width="7.33"/>
    <col customWidth="1" hidden="1" min="35" max="35" width="7.11"/>
    <col customWidth="1" hidden="1" min="36" max="36" width="7.33"/>
    <col customWidth="1" hidden="1" min="37" max="37" width="7.11"/>
    <col customWidth="1" hidden="1" min="38" max="38" width="7.33"/>
    <col customWidth="1" hidden="1" min="39" max="39" width="7.11"/>
    <col customWidth="1" hidden="1" min="40" max="40" width="7.33"/>
    <col customWidth="1" hidden="1" min="41" max="41" width="7.11"/>
    <col customWidth="1" hidden="1" min="42" max="42" width="7.33"/>
    <col customWidth="1" hidden="1" min="43" max="43" width="7.11"/>
    <col customWidth="1" hidden="1" min="44" max="44" width="7.33"/>
    <col customWidth="1" hidden="1" min="45" max="45" width="7.11"/>
    <col customWidth="1" hidden="1" min="46" max="46" width="7.33"/>
    <col customWidth="1" hidden="1" min="47" max="47" width="7.11"/>
    <col customWidth="1" hidden="1" min="48" max="48" width="7.33"/>
    <col customWidth="1" hidden="1" min="49" max="49" width="7.11"/>
    <col customWidth="1" hidden="1" min="50" max="50" width="7.33"/>
    <col customWidth="1" hidden="1" min="51" max="51" width="7.11"/>
    <col customWidth="1" hidden="1" min="52" max="52" width="7.33"/>
    <col customWidth="1" hidden="1" min="53" max="53" width="7.11"/>
    <col customWidth="1" hidden="1" min="54" max="54" width="7.33"/>
    <col customWidth="1" hidden="1" min="55" max="55" width="7.11"/>
    <col customWidth="1" hidden="1" min="56" max="56" width="7.33"/>
    <col customWidth="1" hidden="1" min="57" max="57" width="7.11"/>
    <col customWidth="1" hidden="1" min="58" max="58" width="7.33"/>
    <col customWidth="1" hidden="1" min="59" max="59" width="7.11"/>
    <col customWidth="1" hidden="1" min="60" max="60" width="7.33"/>
    <col customWidth="1" hidden="1" min="61" max="61" width="7.11"/>
    <col customWidth="1" hidden="1" min="62" max="62" width="7.33"/>
    <col customWidth="1" hidden="1" min="63" max="63" width="7.11"/>
    <col customWidth="1" hidden="1" min="64" max="64" width="7.33"/>
    <col customWidth="1" hidden="1" min="65" max="65" width="7.11"/>
    <col customWidth="1" hidden="1" min="66" max="66" width="7.33"/>
    <col customWidth="1" hidden="1" min="67" max="67" width="7.11"/>
    <col customWidth="1" hidden="1" min="68" max="68" width="7.33"/>
    <col customWidth="1" hidden="1" min="69" max="69" width="7.11"/>
    <col customWidth="1" min="70" max="70" width="10.67"/>
    <col customWidth="1" min="71" max="71" width="13.0"/>
    <col customWidth="1" min="72" max="72" width="11.67"/>
    <col customWidth="1" min="73" max="73" width="10.67"/>
    <col customWidth="1" min="74" max="74" width="9.33"/>
    <col customWidth="1" min="75" max="75" width="11.11"/>
    <col customWidth="1" min="76" max="76" width="10.11"/>
  </cols>
  <sheetData>
    <row r="1" ht="12.0" customHeight="1">
      <c r="A1" s="1"/>
      <c r="BR1" s="3"/>
      <c r="BS1" s="3"/>
    </row>
    <row r="2" ht="13.5" customHeigh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7" t="s">
        <v>5</v>
      </c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10"/>
      <c r="AZ2" s="11"/>
      <c r="BA2" s="8"/>
      <c r="BB2" s="11"/>
      <c r="BC2" s="8"/>
      <c r="BD2" s="11"/>
      <c r="BE2" s="8"/>
      <c r="BF2" s="11"/>
      <c r="BG2" s="8"/>
      <c r="BH2" s="11"/>
      <c r="BI2" s="8"/>
      <c r="BJ2" s="11"/>
      <c r="BK2" s="8"/>
      <c r="BL2" s="11"/>
      <c r="BM2" s="8"/>
      <c r="BN2" s="11"/>
      <c r="BO2" s="8"/>
      <c r="BP2" s="11"/>
      <c r="BQ2" s="8"/>
      <c r="BR2" s="150" t="s">
        <v>6</v>
      </c>
      <c r="BS2" s="10"/>
      <c r="BT2" s="10"/>
      <c r="BU2" s="10"/>
      <c r="BV2" s="10"/>
      <c r="BW2" s="10"/>
      <c r="BX2" s="8"/>
    </row>
    <row r="3" ht="24.75" customHeight="1">
      <c r="A3" s="12"/>
      <c r="B3" s="13"/>
      <c r="C3" s="14"/>
      <c r="D3" s="15" t="s">
        <v>7</v>
      </c>
      <c r="E3" s="16" t="s">
        <v>8</v>
      </c>
      <c r="F3" s="15" t="s">
        <v>7</v>
      </c>
      <c r="G3" s="16" t="s">
        <v>8</v>
      </c>
      <c r="H3" s="15" t="s">
        <v>7</v>
      </c>
      <c r="I3" s="16" t="s">
        <v>8</v>
      </c>
      <c r="J3" s="15" t="s">
        <v>7</v>
      </c>
      <c r="K3" s="16" t="s">
        <v>8</v>
      </c>
      <c r="L3" s="15" t="s">
        <v>7</v>
      </c>
      <c r="M3" s="16" t="s">
        <v>8</v>
      </c>
      <c r="N3" s="15" t="s">
        <v>7</v>
      </c>
      <c r="O3" s="16" t="s">
        <v>8</v>
      </c>
      <c r="P3" s="15" t="s">
        <v>7</v>
      </c>
      <c r="Q3" s="16" t="s">
        <v>8</v>
      </c>
      <c r="R3" s="15" t="s">
        <v>7</v>
      </c>
      <c r="S3" s="16" t="s">
        <v>8</v>
      </c>
      <c r="T3" s="15" t="s">
        <v>7</v>
      </c>
      <c r="U3" s="16" t="s">
        <v>8</v>
      </c>
      <c r="V3" s="15" t="s">
        <v>7</v>
      </c>
      <c r="W3" s="16" t="s">
        <v>8</v>
      </c>
      <c r="X3" s="17" t="s">
        <v>7</v>
      </c>
      <c r="Y3" s="18" t="s">
        <v>8</v>
      </c>
      <c r="Z3" s="17" t="s">
        <v>7</v>
      </c>
      <c r="AA3" s="18" t="s">
        <v>8</v>
      </c>
      <c r="AB3" s="17" t="s">
        <v>7</v>
      </c>
      <c r="AC3" s="18" t="s">
        <v>8</v>
      </c>
      <c r="AD3" s="17" t="s">
        <v>7</v>
      </c>
      <c r="AE3" s="18" t="s">
        <v>8</v>
      </c>
      <c r="AF3" s="17" t="s">
        <v>7</v>
      </c>
      <c r="AG3" s="18" t="s">
        <v>8</v>
      </c>
      <c r="AH3" s="17" t="s">
        <v>7</v>
      </c>
      <c r="AI3" s="18" t="s">
        <v>8</v>
      </c>
      <c r="AJ3" s="17" t="s">
        <v>7</v>
      </c>
      <c r="AK3" s="18" t="s">
        <v>8</v>
      </c>
      <c r="AL3" s="17" t="s">
        <v>7</v>
      </c>
      <c r="AM3" s="18" t="s">
        <v>8</v>
      </c>
      <c r="AN3" s="17" t="s">
        <v>7</v>
      </c>
      <c r="AO3" s="18" t="s">
        <v>8</v>
      </c>
      <c r="AP3" s="17" t="s">
        <v>7</v>
      </c>
      <c r="AQ3" s="18" t="s">
        <v>8</v>
      </c>
      <c r="AR3" s="17" t="s">
        <v>7</v>
      </c>
      <c r="AS3" s="18" t="s">
        <v>8</v>
      </c>
      <c r="AT3" s="17" t="s">
        <v>7</v>
      </c>
      <c r="AU3" s="18" t="s">
        <v>8</v>
      </c>
      <c r="AV3" s="17" t="s">
        <v>7</v>
      </c>
      <c r="AW3" s="18" t="s">
        <v>8</v>
      </c>
      <c r="AX3" s="17" t="s">
        <v>7</v>
      </c>
      <c r="AY3" s="19" t="s">
        <v>8</v>
      </c>
      <c r="AZ3" s="20" t="s">
        <v>7</v>
      </c>
      <c r="BA3" s="21" t="s">
        <v>8</v>
      </c>
      <c r="BB3" s="20" t="s">
        <v>7</v>
      </c>
      <c r="BC3" s="21" t="s">
        <v>8</v>
      </c>
      <c r="BD3" s="20" t="s">
        <v>7</v>
      </c>
      <c r="BE3" s="21" t="s">
        <v>8</v>
      </c>
      <c r="BF3" s="20" t="s">
        <v>7</v>
      </c>
      <c r="BG3" s="21" t="s">
        <v>8</v>
      </c>
      <c r="BH3" s="20" t="s">
        <v>7</v>
      </c>
      <c r="BI3" s="21" t="s">
        <v>8</v>
      </c>
      <c r="BJ3" s="20" t="s">
        <v>7</v>
      </c>
      <c r="BK3" s="21" t="s">
        <v>8</v>
      </c>
      <c r="BL3" s="20" t="s">
        <v>7</v>
      </c>
      <c r="BM3" s="21" t="s">
        <v>8</v>
      </c>
      <c r="BN3" s="20" t="s">
        <v>7</v>
      </c>
      <c r="BO3" s="21" t="s">
        <v>8</v>
      </c>
      <c r="BP3" s="20" t="s">
        <v>7</v>
      </c>
      <c r="BQ3" s="21" t="s">
        <v>8</v>
      </c>
      <c r="BR3" s="22" t="s">
        <v>9</v>
      </c>
      <c r="BS3" s="23" t="s">
        <v>10</v>
      </c>
      <c r="BT3" s="24" t="s">
        <v>11</v>
      </c>
      <c r="BU3" s="24" t="s">
        <v>12</v>
      </c>
      <c r="BV3" s="151" t="s">
        <v>13</v>
      </c>
      <c r="BW3" s="152" t="s">
        <v>14</v>
      </c>
      <c r="BX3" s="153" t="s">
        <v>15</v>
      </c>
    </row>
    <row r="4" ht="12.0" customHeight="1">
      <c r="A4" s="101"/>
      <c r="B4" s="29"/>
      <c r="C4" s="30"/>
      <c r="D4" s="33" t="str">
        <f t="shared" ref="D4:E4" si="1">SUM('Oct 24:Sept 25'!D4)</f>
        <v>#REF!</v>
      </c>
      <c r="E4" s="154" t="str">
        <f t="shared" si="1"/>
        <v>#REF!</v>
      </c>
      <c r="F4" s="31"/>
      <c r="G4" s="32"/>
      <c r="H4" s="31"/>
      <c r="I4" s="32"/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5"/>
      <c r="AR4" s="34"/>
      <c r="AS4" s="35"/>
      <c r="AT4" s="34"/>
      <c r="AU4" s="35"/>
      <c r="AV4" s="34"/>
      <c r="AW4" s="35"/>
      <c r="AX4" s="34"/>
      <c r="AY4" s="37"/>
      <c r="AZ4" s="100"/>
      <c r="BA4" s="39"/>
      <c r="BB4" s="100"/>
      <c r="BC4" s="39"/>
      <c r="BD4" s="100"/>
      <c r="BE4" s="39"/>
      <c r="BF4" s="100"/>
      <c r="BG4" s="39"/>
      <c r="BH4" s="100"/>
      <c r="BI4" s="39"/>
      <c r="BJ4" s="100"/>
      <c r="BK4" s="39"/>
      <c r="BL4" s="100"/>
      <c r="BM4" s="39"/>
      <c r="BN4" s="100"/>
      <c r="BO4" s="39"/>
      <c r="BP4" s="100"/>
      <c r="BQ4" s="39"/>
      <c r="BR4" s="40" t="str">
        <f t="shared" ref="BR4:BS4" si="2">SUM('Oct 24:Sept 25'!BR4)</f>
        <v>#REF!</v>
      </c>
      <c r="BS4" s="41" t="str">
        <f t="shared" si="2"/>
        <v>#REF!</v>
      </c>
      <c r="BT4" s="42"/>
      <c r="BU4" s="42"/>
      <c r="BV4" s="155" t="str">
        <f t="shared" ref="BV4:BV70" si="5">IF(BR4=0, "", BR4/BT4)</f>
        <v>#REF!</v>
      </c>
      <c r="BW4" s="156" t="str">
        <f t="shared" ref="BW4:BW70" si="6">IF(BR4=0, "", BR4/BS4)</f>
        <v>#REF!</v>
      </c>
      <c r="BX4" s="157" t="str">
        <f t="shared" ref="BX4:BX70" si="7">IF(BR4=0, "", BR4/BU4)</f>
        <v>#REF!</v>
      </c>
    </row>
    <row r="5" ht="12.0" customHeight="1">
      <c r="A5" s="101"/>
      <c r="B5" s="29"/>
      <c r="C5" s="30"/>
      <c r="D5" s="33" t="str">
        <f t="shared" ref="D5:E5" si="3">SUM('Oct 24:Sept 25'!D5)</f>
        <v>#REF!</v>
      </c>
      <c r="E5" s="154" t="str">
        <f t="shared" si="3"/>
        <v>#REF!</v>
      </c>
      <c r="F5" s="31"/>
      <c r="G5" s="32"/>
      <c r="H5" s="31"/>
      <c r="I5" s="32"/>
      <c r="J5" s="31"/>
      <c r="K5" s="32"/>
      <c r="L5" s="31"/>
      <c r="M5" s="32"/>
      <c r="N5" s="31"/>
      <c r="O5" s="32"/>
      <c r="P5" s="31"/>
      <c r="Q5" s="32"/>
      <c r="R5" s="31"/>
      <c r="S5" s="32"/>
      <c r="T5" s="31"/>
      <c r="U5" s="32"/>
      <c r="V5" s="31"/>
      <c r="W5" s="32"/>
      <c r="X5" s="34"/>
      <c r="Y5" s="35"/>
      <c r="Z5" s="34"/>
      <c r="AA5" s="35"/>
      <c r="AB5" s="34"/>
      <c r="AC5" s="35"/>
      <c r="AD5" s="34"/>
      <c r="AE5" s="35"/>
      <c r="AF5" s="34"/>
      <c r="AG5" s="35"/>
      <c r="AH5" s="34"/>
      <c r="AI5" s="35"/>
      <c r="AJ5" s="34"/>
      <c r="AK5" s="35"/>
      <c r="AL5" s="34"/>
      <c r="AM5" s="35"/>
      <c r="AN5" s="34"/>
      <c r="AO5" s="35"/>
      <c r="AP5" s="34"/>
      <c r="AQ5" s="35"/>
      <c r="AR5" s="34"/>
      <c r="AS5" s="35"/>
      <c r="AT5" s="34"/>
      <c r="AU5" s="35"/>
      <c r="AV5" s="34"/>
      <c r="AW5" s="35"/>
      <c r="AX5" s="34"/>
      <c r="AY5" s="37"/>
      <c r="AZ5" s="100"/>
      <c r="BA5" s="39"/>
      <c r="BB5" s="100"/>
      <c r="BC5" s="39"/>
      <c r="BD5" s="100"/>
      <c r="BE5" s="39"/>
      <c r="BF5" s="100"/>
      <c r="BG5" s="39"/>
      <c r="BH5" s="100"/>
      <c r="BI5" s="39"/>
      <c r="BJ5" s="100"/>
      <c r="BK5" s="39"/>
      <c r="BL5" s="100"/>
      <c r="BM5" s="39"/>
      <c r="BN5" s="100"/>
      <c r="BO5" s="39"/>
      <c r="BP5" s="100"/>
      <c r="BQ5" s="39"/>
      <c r="BR5" s="40" t="str">
        <f t="shared" ref="BR5:BS5" si="4">SUM('Oct 24:Sept 25'!BR5)</f>
        <v>#REF!</v>
      </c>
      <c r="BS5" s="41" t="str">
        <f t="shared" si="4"/>
        <v>#REF!</v>
      </c>
      <c r="BT5" s="42"/>
      <c r="BU5" s="42"/>
      <c r="BV5" s="155" t="str">
        <f t="shared" si="5"/>
        <v>#REF!</v>
      </c>
      <c r="BW5" s="156" t="str">
        <f t="shared" si="6"/>
        <v>#REF!</v>
      </c>
      <c r="BX5" s="157" t="str">
        <f t="shared" si="7"/>
        <v>#REF!</v>
      </c>
    </row>
    <row r="6" ht="12.0" customHeight="1">
      <c r="A6" s="101"/>
      <c r="B6" s="29"/>
      <c r="C6" s="30"/>
      <c r="D6" s="33" t="str">
        <f t="shared" ref="D6:E6" si="8">SUM('Oct 24:Sept 25'!D6)</f>
        <v>#REF!</v>
      </c>
      <c r="E6" s="154" t="str">
        <f t="shared" si="8"/>
        <v>#REF!</v>
      </c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4"/>
      <c r="Y6" s="35"/>
      <c r="Z6" s="34"/>
      <c r="AA6" s="35"/>
      <c r="AB6" s="34"/>
      <c r="AC6" s="35"/>
      <c r="AD6" s="34"/>
      <c r="AE6" s="35"/>
      <c r="AF6" s="34"/>
      <c r="AG6" s="35"/>
      <c r="AH6" s="34"/>
      <c r="AI6" s="35"/>
      <c r="AJ6" s="34"/>
      <c r="AK6" s="35"/>
      <c r="AL6" s="34"/>
      <c r="AM6" s="35"/>
      <c r="AN6" s="34"/>
      <c r="AO6" s="35"/>
      <c r="AP6" s="34"/>
      <c r="AQ6" s="35"/>
      <c r="AR6" s="34"/>
      <c r="AS6" s="35"/>
      <c r="AT6" s="34"/>
      <c r="AU6" s="35"/>
      <c r="AV6" s="34"/>
      <c r="AW6" s="35"/>
      <c r="AX6" s="34"/>
      <c r="AY6" s="37"/>
      <c r="AZ6" s="100"/>
      <c r="BA6" s="39"/>
      <c r="BB6" s="100"/>
      <c r="BC6" s="39"/>
      <c r="BD6" s="100"/>
      <c r="BE6" s="39"/>
      <c r="BF6" s="100"/>
      <c r="BG6" s="39"/>
      <c r="BH6" s="100"/>
      <c r="BI6" s="39"/>
      <c r="BJ6" s="100"/>
      <c r="BK6" s="39"/>
      <c r="BL6" s="100"/>
      <c r="BM6" s="39"/>
      <c r="BN6" s="100"/>
      <c r="BO6" s="39"/>
      <c r="BP6" s="100"/>
      <c r="BQ6" s="39"/>
      <c r="BR6" s="40" t="str">
        <f t="shared" ref="BR6:BS6" si="9">SUM('Oct 24:Sept 25'!BR6)</f>
        <v>#REF!</v>
      </c>
      <c r="BS6" s="41" t="str">
        <f t="shared" si="9"/>
        <v>#REF!</v>
      </c>
      <c r="BT6" s="42"/>
      <c r="BU6" s="42"/>
      <c r="BV6" s="155" t="str">
        <f t="shared" si="5"/>
        <v>#REF!</v>
      </c>
      <c r="BW6" s="156" t="str">
        <f t="shared" si="6"/>
        <v>#REF!</v>
      </c>
      <c r="BX6" s="157" t="str">
        <f t="shared" si="7"/>
        <v>#REF!</v>
      </c>
    </row>
    <row r="7" ht="12.0" customHeight="1">
      <c r="A7" s="101"/>
      <c r="B7" s="29"/>
      <c r="C7" s="30"/>
      <c r="D7" s="33" t="str">
        <f t="shared" ref="D7:E7" si="10">SUM('Oct 24:Sept 25'!D7)</f>
        <v>#REF!</v>
      </c>
      <c r="E7" s="154" t="str">
        <f t="shared" si="10"/>
        <v>#REF!</v>
      </c>
      <c r="F7" s="31"/>
      <c r="G7" s="32"/>
      <c r="H7" s="31"/>
      <c r="I7" s="32"/>
      <c r="J7" s="31"/>
      <c r="K7" s="32"/>
      <c r="L7" s="31"/>
      <c r="M7" s="32"/>
      <c r="N7" s="31"/>
      <c r="O7" s="32"/>
      <c r="P7" s="31"/>
      <c r="Q7" s="32"/>
      <c r="R7" s="31"/>
      <c r="S7" s="32"/>
      <c r="T7" s="31"/>
      <c r="U7" s="32"/>
      <c r="V7" s="31"/>
      <c r="W7" s="32"/>
      <c r="X7" s="34"/>
      <c r="Y7" s="35"/>
      <c r="Z7" s="34"/>
      <c r="AA7" s="35"/>
      <c r="AB7" s="34"/>
      <c r="AC7" s="35"/>
      <c r="AD7" s="34"/>
      <c r="AE7" s="35"/>
      <c r="AF7" s="34"/>
      <c r="AG7" s="35"/>
      <c r="AH7" s="34"/>
      <c r="AI7" s="35"/>
      <c r="AJ7" s="34"/>
      <c r="AK7" s="35"/>
      <c r="AL7" s="34"/>
      <c r="AM7" s="35"/>
      <c r="AN7" s="34"/>
      <c r="AO7" s="35"/>
      <c r="AP7" s="34"/>
      <c r="AQ7" s="35"/>
      <c r="AR7" s="34"/>
      <c r="AS7" s="35"/>
      <c r="AT7" s="34"/>
      <c r="AU7" s="35"/>
      <c r="AV7" s="34"/>
      <c r="AW7" s="35"/>
      <c r="AX7" s="34"/>
      <c r="AY7" s="37"/>
      <c r="AZ7" s="100"/>
      <c r="BA7" s="39"/>
      <c r="BB7" s="100"/>
      <c r="BC7" s="39"/>
      <c r="BD7" s="100"/>
      <c r="BE7" s="39"/>
      <c r="BF7" s="100"/>
      <c r="BG7" s="39"/>
      <c r="BH7" s="100"/>
      <c r="BI7" s="39"/>
      <c r="BJ7" s="100"/>
      <c r="BK7" s="39"/>
      <c r="BL7" s="100"/>
      <c r="BM7" s="39"/>
      <c r="BN7" s="100"/>
      <c r="BO7" s="39"/>
      <c r="BP7" s="100"/>
      <c r="BQ7" s="39"/>
      <c r="BR7" s="40" t="str">
        <f t="shared" ref="BR7:BS7" si="11">SUM('Oct 24:Sept 25'!BR7)</f>
        <v>#REF!</v>
      </c>
      <c r="BS7" s="41" t="str">
        <f t="shared" si="11"/>
        <v>#REF!</v>
      </c>
      <c r="BT7" s="42"/>
      <c r="BU7" s="42"/>
      <c r="BV7" s="155" t="str">
        <f t="shared" si="5"/>
        <v>#REF!</v>
      </c>
      <c r="BW7" s="156" t="str">
        <f t="shared" si="6"/>
        <v>#REF!</v>
      </c>
      <c r="BX7" s="157" t="str">
        <f t="shared" si="7"/>
        <v>#REF!</v>
      </c>
    </row>
    <row r="8" ht="12.0" customHeight="1">
      <c r="A8" s="101"/>
      <c r="B8" s="29"/>
      <c r="C8" s="30"/>
      <c r="D8" s="33" t="str">
        <f t="shared" ref="D8:E8" si="12">SUM('Oct 24:Sept 25'!D8)</f>
        <v>#REF!</v>
      </c>
      <c r="E8" s="154" t="str">
        <f t="shared" si="12"/>
        <v>#REF!</v>
      </c>
      <c r="F8" s="31"/>
      <c r="G8" s="32"/>
      <c r="H8" s="31"/>
      <c r="I8" s="32"/>
      <c r="J8" s="31"/>
      <c r="K8" s="32"/>
      <c r="L8" s="31"/>
      <c r="M8" s="32"/>
      <c r="N8" s="31"/>
      <c r="O8" s="32"/>
      <c r="P8" s="31"/>
      <c r="Q8" s="32"/>
      <c r="R8" s="31"/>
      <c r="S8" s="32"/>
      <c r="T8" s="31"/>
      <c r="U8" s="32"/>
      <c r="V8" s="31"/>
      <c r="W8" s="32"/>
      <c r="X8" s="34"/>
      <c r="Y8" s="35"/>
      <c r="Z8" s="34"/>
      <c r="AA8" s="35"/>
      <c r="AB8" s="34"/>
      <c r="AC8" s="35"/>
      <c r="AD8" s="34"/>
      <c r="AE8" s="35"/>
      <c r="AF8" s="34"/>
      <c r="AG8" s="35"/>
      <c r="AH8" s="34"/>
      <c r="AI8" s="35"/>
      <c r="AJ8" s="34"/>
      <c r="AK8" s="35"/>
      <c r="AL8" s="34"/>
      <c r="AM8" s="35"/>
      <c r="AN8" s="34"/>
      <c r="AO8" s="35"/>
      <c r="AP8" s="34"/>
      <c r="AQ8" s="35"/>
      <c r="AR8" s="34"/>
      <c r="AS8" s="35"/>
      <c r="AT8" s="34"/>
      <c r="AU8" s="35"/>
      <c r="AV8" s="34"/>
      <c r="AW8" s="35"/>
      <c r="AX8" s="34"/>
      <c r="AY8" s="37"/>
      <c r="AZ8" s="100"/>
      <c r="BA8" s="39"/>
      <c r="BB8" s="100"/>
      <c r="BC8" s="39"/>
      <c r="BD8" s="100"/>
      <c r="BE8" s="39"/>
      <c r="BF8" s="100"/>
      <c r="BG8" s="39"/>
      <c r="BH8" s="100"/>
      <c r="BI8" s="39"/>
      <c r="BJ8" s="100"/>
      <c r="BK8" s="39"/>
      <c r="BL8" s="100"/>
      <c r="BM8" s="39"/>
      <c r="BN8" s="100"/>
      <c r="BO8" s="39"/>
      <c r="BP8" s="100"/>
      <c r="BQ8" s="39"/>
      <c r="BR8" s="40" t="str">
        <f t="shared" ref="BR8:BS8" si="13">SUM('Oct 24:Sept 25'!BR8)</f>
        <v>#REF!</v>
      </c>
      <c r="BS8" s="41" t="str">
        <f t="shared" si="13"/>
        <v>#REF!</v>
      </c>
      <c r="BT8" s="42"/>
      <c r="BU8" s="42"/>
      <c r="BV8" s="155" t="str">
        <f t="shared" si="5"/>
        <v>#REF!</v>
      </c>
      <c r="BW8" s="156" t="str">
        <f t="shared" si="6"/>
        <v>#REF!</v>
      </c>
      <c r="BX8" s="157" t="str">
        <f t="shared" si="7"/>
        <v>#REF!</v>
      </c>
    </row>
    <row r="9" ht="12.0" customHeight="1">
      <c r="A9" s="101"/>
      <c r="B9" s="29"/>
      <c r="C9" s="30"/>
      <c r="D9" s="33" t="str">
        <f t="shared" ref="D9:E9" si="14">SUM('Oct 24:Sept 25'!D9)</f>
        <v>#REF!</v>
      </c>
      <c r="E9" s="154" t="str">
        <f t="shared" si="14"/>
        <v>#REF!</v>
      </c>
      <c r="F9" s="31"/>
      <c r="G9" s="32"/>
      <c r="H9" s="31"/>
      <c r="I9" s="32"/>
      <c r="J9" s="31"/>
      <c r="K9" s="32"/>
      <c r="L9" s="31"/>
      <c r="M9" s="32"/>
      <c r="N9" s="31"/>
      <c r="O9" s="32"/>
      <c r="P9" s="31"/>
      <c r="Q9" s="32"/>
      <c r="R9" s="31"/>
      <c r="S9" s="32"/>
      <c r="T9" s="31"/>
      <c r="U9" s="32"/>
      <c r="V9" s="31"/>
      <c r="W9" s="32"/>
      <c r="X9" s="34"/>
      <c r="Y9" s="35"/>
      <c r="Z9" s="34"/>
      <c r="AA9" s="35"/>
      <c r="AB9" s="34"/>
      <c r="AC9" s="35"/>
      <c r="AD9" s="34"/>
      <c r="AE9" s="35"/>
      <c r="AF9" s="34"/>
      <c r="AG9" s="35"/>
      <c r="AH9" s="34"/>
      <c r="AI9" s="35"/>
      <c r="AJ9" s="34"/>
      <c r="AK9" s="35"/>
      <c r="AL9" s="34"/>
      <c r="AM9" s="35"/>
      <c r="AN9" s="34"/>
      <c r="AO9" s="35"/>
      <c r="AP9" s="34"/>
      <c r="AQ9" s="35"/>
      <c r="AR9" s="34"/>
      <c r="AS9" s="35"/>
      <c r="AT9" s="34"/>
      <c r="AU9" s="35"/>
      <c r="AV9" s="34"/>
      <c r="AW9" s="35"/>
      <c r="AX9" s="34"/>
      <c r="AY9" s="37"/>
      <c r="AZ9" s="100"/>
      <c r="BA9" s="39"/>
      <c r="BB9" s="100"/>
      <c r="BC9" s="39"/>
      <c r="BD9" s="100"/>
      <c r="BE9" s="39"/>
      <c r="BF9" s="100"/>
      <c r="BG9" s="39"/>
      <c r="BH9" s="100"/>
      <c r="BI9" s="39"/>
      <c r="BJ9" s="100"/>
      <c r="BK9" s="39"/>
      <c r="BL9" s="100"/>
      <c r="BM9" s="39"/>
      <c r="BN9" s="100"/>
      <c r="BO9" s="39"/>
      <c r="BP9" s="100"/>
      <c r="BQ9" s="39"/>
      <c r="BR9" s="40" t="str">
        <f t="shared" ref="BR9:BS9" si="15">SUM('Oct 24:Sept 25'!BR9)</f>
        <v>#REF!</v>
      </c>
      <c r="BS9" s="41" t="str">
        <f t="shared" si="15"/>
        <v>#REF!</v>
      </c>
      <c r="BT9" s="42"/>
      <c r="BU9" s="42"/>
      <c r="BV9" s="155" t="str">
        <f t="shared" si="5"/>
        <v>#REF!</v>
      </c>
      <c r="BW9" s="156" t="str">
        <f t="shared" si="6"/>
        <v>#REF!</v>
      </c>
      <c r="BX9" s="157" t="str">
        <f t="shared" si="7"/>
        <v>#REF!</v>
      </c>
    </row>
    <row r="10" ht="12.0" customHeight="1">
      <c r="A10" s="101"/>
      <c r="B10" s="29"/>
      <c r="C10" s="30"/>
      <c r="D10" s="33" t="str">
        <f t="shared" ref="D10:E10" si="16">SUM('Oct 24:Sept 25'!D10)</f>
        <v>#REF!</v>
      </c>
      <c r="E10" s="154" t="str">
        <f t="shared" si="16"/>
        <v>#REF!</v>
      </c>
      <c r="F10" s="31"/>
      <c r="G10" s="32"/>
      <c r="H10" s="31"/>
      <c r="I10" s="32"/>
      <c r="J10" s="31"/>
      <c r="K10" s="32"/>
      <c r="L10" s="31"/>
      <c r="M10" s="32"/>
      <c r="N10" s="31"/>
      <c r="O10" s="32"/>
      <c r="P10" s="31"/>
      <c r="Q10" s="32"/>
      <c r="R10" s="31"/>
      <c r="S10" s="32"/>
      <c r="T10" s="31"/>
      <c r="U10" s="32"/>
      <c r="V10" s="31"/>
      <c r="W10" s="32"/>
      <c r="X10" s="34"/>
      <c r="Y10" s="35"/>
      <c r="Z10" s="34"/>
      <c r="AA10" s="35"/>
      <c r="AB10" s="34"/>
      <c r="AC10" s="35"/>
      <c r="AD10" s="34"/>
      <c r="AE10" s="35"/>
      <c r="AF10" s="34"/>
      <c r="AG10" s="35"/>
      <c r="AH10" s="34"/>
      <c r="AI10" s="35"/>
      <c r="AJ10" s="34"/>
      <c r="AK10" s="35"/>
      <c r="AL10" s="34"/>
      <c r="AM10" s="35"/>
      <c r="AN10" s="34"/>
      <c r="AO10" s="35"/>
      <c r="AP10" s="34"/>
      <c r="AQ10" s="35"/>
      <c r="AR10" s="34"/>
      <c r="AS10" s="35"/>
      <c r="AT10" s="34"/>
      <c r="AU10" s="35"/>
      <c r="AV10" s="34"/>
      <c r="AW10" s="35"/>
      <c r="AX10" s="34"/>
      <c r="AY10" s="37"/>
      <c r="AZ10" s="100"/>
      <c r="BA10" s="39"/>
      <c r="BB10" s="100"/>
      <c r="BC10" s="39"/>
      <c r="BD10" s="100"/>
      <c r="BE10" s="39"/>
      <c r="BF10" s="100"/>
      <c r="BG10" s="39"/>
      <c r="BH10" s="100"/>
      <c r="BI10" s="39"/>
      <c r="BJ10" s="100"/>
      <c r="BK10" s="39"/>
      <c r="BL10" s="100"/>
      <c r="BM10" s="39"/>
      <c r="BN10" s="100"/>
      <c r="BO10" s="39"/>
      <c r="BP10" s="100"/>
      <c r="BQ10" s="39"/>
      <c r="BR10" s="40" t="str">
        <f t="shared" ref="BR10:BS10" si="17">SUM('Oct 24:Sept 25'!BR10)</f>
        <v>#REF!</v>
      </c>
      <c r="BS10" s="41" t="str">
        <f t="shared" si="17"/>
        <v>#REF!</v>
      </c>
      <c r="BT10" s="42"/>
      <c r="BU10" s="42"/>
      <c r="BV10" s="155" t="str">
        <f t="shared" si="5"/>
        <v>#REF!</v>
      </c>
      <c r="BW10" s="156" t="str">
        <f t="shared" si="6"/>
        <v>#REF!</v>
      </c>
      <c r="BX10" s="157" t="str">
        <f t="shared" si="7"/>
        <v>#REF!</v>
      </c>
    </row>
    <row r="11" ht="12.0" customHeight="1">
      <c r="A11" s="101"/>
      <c r="B11" s="29"/>
      <c r="C11" s="30"/>
      <c r="D11" s="33" t="str">
        <f t="shared" ref="D11:E11" si="18">SUM('Oct 24:Sept 25'!D11)</f>
        <v>#REF!</v>
      </c>
      <c r="E11" s="154" t="str">
        <f t="shared" si="18"/>
        <v>#REF!</v>
      </c>
      <c r="F11" s="31"/>
      <c r="G11" s="32"/>
      <c r="H11" s="31"/>
      <c r="I11" s="32"/>
      <c r="J11" s="31"/>
      <c r="K11" s="32"/>
      <c r="L11" s="31"/>
      <c r="M11" s="32"/>
      <c r="N11" s="31"/>
      <c r="O11" s="32"/>
      <c r="P11" s="31"/>
      <c r="Q11" s="32"/>
      <c r="R11" s="31"/>
      <c r="S11" s="32"/>
      <c r="T11" s="31"/>
      <c r="U11" s="32"/>
      <c r="V11" s="31"/>
      <c r="W11" s="32"/>
      <c r="X11" s="34"/>
      <c r="Y11" s="35"/>
      <c r="Z11" s="34"/>
      <c r="AA11" s="35"/>
      <c r="AB11" s="34"/>
      <c r="AC11" s="35"/>
      <c r="AD11" s="34"/>
      <c r="AE11" s="35"/>
      <c r="AF11" s="34"/>
      <c r="AG11" s="35"/>
      <c r="AH11" s="34"/>
      <c r="AI11" s="35"/>
      <c r="AJ11" s="34"/>
      <c r="AK11" s="35"/>
      <c r="AL11" s="34"/>
      <c r="AM11" s="35"/>
      <c r="AN11" s="34"/>
      <c r="AO11" s="35"/>
      <c r="AP11" s="34"/>
      <c r="AQ11" s="35"/>
      <c r="AR11" s="34"/>
      <c r="AS11" s="35"/>
      <c r="AT11" s="34"/>
      <c r="AU11" s="35"/>
      <c r="AV11" s="34"/>
      <c r="AW11" s="35"/>
      <c r="AX11" s="34"/>
      <c r="AY11" s="37"/>
      <c r="AZ11" s="100"/>
      <c r="BA11" s="39"/>
      <c r="BB11" s="100"/>
      <c r="BC11" s="39"/>
      <c r="BD11" s="100"/>
      <c r="BE11" s="39"/>
      <c r="BF11" s="100"/>
      <c r="BG11" s="39"/>
      <c r="BH11" s="100"/>
      <c r="BI11" s="39"/>
      <c r="BJ11" s="100"/>
      <c r="BK11" s="39"/>
      <c r="BL11" s="100"/>
      <c r="BM11" s="39"/>
      <c r="BN11" s="100"/>
      <c r="BO11" s="39"/>
      <c r="BP11" s="100"/>
      <c r="BQ11" s="39"/>
      <c r="BR11" s="40" t="str">
        <f t="shared" ref="BR11:BS11" si="19">SUM('Oct 24:Sept 25'!BR11)</f>
        <v>#REF!</v>
      </c>
      <c r="BS11" s="41" t="str">
        <f t="shared" si="19"/>
        <v>#REF!</v>
      </c>
      <c r="BT11" s="42"/>
      <c r="BU11" s="42"/>
      <c r="BV11" s="155" t="str">
        <f t="shared" si="5"/>
        <v>#REF!</v>
      </c>
      <c r="BW11" s="156" t="str">
        <f t="shared" si="6"/>
        <v>#REF!</v>
      </c>
      <c r="BX11" s="157" t="str">
        <f t="shared" si="7"/>
        <v>#REF!</v>
      </c>
    </row>
    <row r="12" ht="12.0" customHeight="1">
      <c r="A12" s="101"/>
      <c r="B12" s="29"/>
      <c r="C12" s="30"/>
      <c r="D12" s="33" t="str">
        <f t="shared" ref="D12:E12" si="20">SUM('Oct 24:Sept 25'!D12)</f>
        <v>#REF!</v>
      </c>
      <c r="E12" s="154" t="str">
        <f t="shared" si="20"/>
        <v>#REF!</v>
      </c>
      <c r="F12" s="31"/>
      <c r="G12" s="32"/>
      <c r="H12" s="31"/>
      <c r="I12" s="32"/>
      <c r="J12" s="31"/>
      <c r="K12" s="32"/>
      <c r="L12" s="31"/>
      <c r="M12" s="32"/>
      <c r="N12" s="31"/>
      <c r="O12" s="32"/>
      <c r="P12" s="31"/>
      <c r="Q12" s="32"/>
      <c r="R12" s="31"/>
      <c r="S12" s="32"/>
      <c r="T12" s="31"/>
      <c r="U12" s="32"/>
      <c r="V12" s="31"/>
      <c r="W12" s="32"/>
      <c r="X12" s="34"/>
      <c r="Y12" s="35"/>
      <c r="Z12" s="34"/>
      <c r="AA12" s="35"/>
      <c r="AB12" s="34"/>
      <c r="AC12" s="35"/>
      <c r="AD12" s="34"/>
      <c r="AE12" s="35"/>
      <c r="AF12" s="34"/>
      <c r="AG12" s="35"/>
      <c r="AH12" s="34"/>
      <c r="AI12" s="35"/>
      <c r="AJ12" s="34"/>
      <c r="AK12" s="35"/>
      <c r="AL12" s="34"/>
      <c r="AM12" s="35"/>
      <c r="AN12" s="34"/>
      <c r="AO12" s="35"/>
      <c r="AP12" s="34"/>
      <c r="AQ12" s="35"/>
      <c r="AR12" s="34"/>
      <c r="AS12" s="35"/>
      <c r="AT12" s="34"/>
      <c r="AU12" s="35"/>
      <c r="AV12" s="34"/>
      <c r="AW12" s="35"/>
      <c r="AX12" s="34"/>
      <c r="AY12" s="37"/>
      <c r="AZ12" s="100"/>
      <c r="BA12" s="39"/>
      <c r="BB12" s="100"/>
      <c r="BC12" s="39"/>
      <c r="BD12" s="100"/>
      <c r="BE12" s="39"/>
      <c r="BF12" s="100"/>
      <c r="BG12" s="39"/>
      <c r="BH12" s="100"/>
      <c r="BI12" s="39"/>
      <c r="BJ12" s="100"/>
      <c r="BK12" s="39"/>
      <c r="BL12" s="100"/>
      <c r="BM12" s="39"/>
      <c r="BN12" s="100"/>
      <c r="BO12" s="39"/>
      <c r="BP12" s="100"/>
      <c r="BQ12" s="39"/>
      <c r="BR12" s="40" t="str">
        <f t="shared" ref="BR12:BS12" si="21">SUM('Oct 24:Sept 25'!BR12)</f>
        <v>#REF!</v>
      </c>
      <c r="BS12" s="41" t="str">
        <f t="shared" si="21"/>
        <v>#REF!</v>
      </c>
      <c r="BT12" s="42"/>
      <c r="BU12" s="42"/>
      <c r="BV12" s="155" t="str">
        <f t="shared" si="5"/>
        <v>#REF!</v>
      </c>
      <c r="BW12" s="156" t="str">
        <f t="shared" si="6"/>
        <v>#REF!</v>
      </c>
      <c r="BX12" s="157" t="str">
        <f t="shared" si="7"/>
        <v>#REF!</v>
      </c>
    </row>
    <row r="13" ht="12.0" customHeight="1">
      <c r="A13" s="101"/>
      <c r="B13" s="29"/>
      <c r="C13" s="30"/>
      <c r="D13" s="33" t="str">
        <f t="shared" ref="D13:E13" si="22">SUM('Oct 24:Sept 25'!D13)</f>
        <v>#REF!</v>
      </c>
      <c r="E13" s="154" t="str">
        <f t="shared" si="22"/>
        <v>#REF!</v>
      </c>
      <c r="F13" s="31"/>
      <c r="G13" s="32"/>
      <c r="H13" s="31"/>
      <c r="I13" s="32"/>
      <c r="J13" s="31"/>
      <c r="K13" s="32"/>
      <c r="L13" s="31"/>
      <c r="M13" s="32"/>
      <c r="N13" s="31"/>
      <c r="O13" s="32"/>
      <c r="P13" s="31"/>
      <c r="Q13" s="32"/>
      <c r="R13" s="31"/>
      <c r="S13" s="32"/>
      <c r="T13" s="31"/>
      <c r="U13" s="32"/>
      <c r="V13" s="31"/>
      <c r="W13" s="32"/>
      <c r="X13" s="34"/>
      <c r="Y13" s="35"/>
      <c r="Z13" s="34"/>
      <c r="AA13" s="35"/>
      <c r="AB13" s="34"/>
      <c r="AC13" s="35"/>
      <c r="AD13" s="34"/>
      <c r="AE13" s="35"/>
      <c r="AF13" s="34"/>
      <c r="AG13" s="35"/>
      <c r="AH13" s="34"/>
      <c r="AI13" s="35"/>
      <c r="AJ13" s="34"/>
      <c r="AK13" s="35"/>
      <c r="AL13" s="34"/>
      <c r="AM13" s="35"/>
      <c r="AN13" s="34"/>
      <c r="AO13" s="35"/>
      <c r="AP13" s="34"/>
      <c r="AQ13" s="35"/>
      <c r="AR13" s="34"/>
      <c r="AS13" s="35"/>
      <c r="AT13" s="34"/>
      <c r="AU13" s="35"/>
      <c r="AV13" s="34"/>
      <c r="AW13" s="35"/>
      <c r="AX13" s="34"/>
      <c r="AY13" s="37"/>
      <c r="AZ13" s="100"/>
      <c r="BA13" s="39"/>
      <c r="BB13" s="100"/>
      <c r="BC13" s="39"/>
      <c r="BD13" s="100"/>
      <c r="BE13" s="39"/>
      <c r="BF13" s="100"/>
      <c r="BG13" s="39"/>
      <c r="BH13" s="100"/>
      <c r="BI13" s="39"/>
      <c r="BJ13" s="100"/>
      <c r="BK13" s="39"/>
      <c r="BL13" s="100"/>
      <c r="BM13" s="39"/>
      <c r="BN13" s="100"/>
      <c r="BO13" s="39"/>
      <c r="BP13" s="100"/>
      <c r="BQ13" s="39"/>
      <c r="BR13" s="40" t="str">
        <f t="shared" ref="BR13:BS13" si="23">SUM('Oct 24:Sept 25'!BR13)</f>
        <v>#REF!</v>
      </c>
      <c r="BS13" s="41" t="str">
        <f t="shared" si="23"/>
        <v>#REF!</v>
      </c>
      <c r="BT13" s="42"/>
      <c r="BU13" s="42"/>
      <c r="BV13" s="155" t="str">
        <f t="shared" si="5"/>
        <v>#REF!</v>
      </c>
      <c r="BW13" s="156" t="str">
        <f t="shared" si="6"/>
        <v>#REF!</v>
      </c>
      <c r="BX13" s="157" t="str">
        <f t="shared" si="7"/>
        <v>#REF!</v>
      </c>
    </row>
    <row r="14" ht="12.0" customHeight="1">
      <c r="A14" s="101"/>
      <c r="B14" s="29"/>
      <c r="C14" s="30"/>
      <c r="D14" s="33" t="str">
        <f t="shared" ref="D14:E14" si="24">SUM('Oct 24:Sept 25'!D14)</f>
        <v>#REF!</v>
      </c>
      <c r="E14" s="154" t="str">
        <f t="shared" si="24"/>
        <v>#REF!</v>
      </c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4"/>
      <c r="Y14" s="35"/>
      <c r="Z14" s="34"/>
      <c r="AA14" s="35"/>
      <c r="AB14" s="34"/>
      <c r="AC14" s="35"/>
      <c r="AD14" s="34"/>
      <c r="AE14" s="35"/>
      <c r="AF14" s="34"/>
      <c r="AG14" s="35"/>
      <c r="AH14" s="34"/>
      <c r="AI14" s="35"/>
      <c r="AJ14" s="34"/>
      <c r="AK14" s="35"/>
      <c r="AL14" s="34"/>
      <c r="AM14" s="35"/>
      <c r="AN14" s="34"/>
      <c r="AO14" s="35"/>
      <c r="AP14" s="34"/>
      <c r="AQ14" s="35"/>
      <c r="AR14" s="34"/>
      <c r="AS14" s="35"/>
      <c r="AT14" s="34"/>
      <c r="AU14" s="35"/>
      <c r="AV14" s="34"/>
      <c r="AW14" s="35"/>
      <c r="AX14" s="34"/>
      <c r="AY14" s="37"/>
      <c r="AZ14" s="100"/>
      <c r="BA14" s="39"/>
      <c r="BB14" s="100"/>
      <c r="BC14" s="39"/>
      <c r="BD14" s="100"/>
      <c r="BE14" s="39"/>
      <c r="BF14" s="100"/>
      <c r="BG14" s="39"/>
      <c r="BH14" s="100"/>
      <c r="BI14" s="39"/>
      <c r="BJ14" s="100"/>
      <c r="BK14" s="39"/>
      <c r="BL14" s="100"/>
      <c r="BM14" s="39"/>
      <c r="BN14" s="100"/>
      <c r="BO14" s="39"/>
      <c r="BP14" s="100"/>
      <c r="BQ14" s="39"/>
      <c r="BR14" s="40" t="str">
        <f t="shared" ref="BR14:BS14" si="25">SUM('Oct 24:Sept 25'!BR14)</f>
        <v>#REF!</v>
      </c>
      <c r="BS14" s="41" t="str">
        <f t="shared" si="25"/>
        <v>#REF!</v>
      </c>
      <c r="BT14" s="42"/>
      <c r="BU14" s="42"/>
      <c r="BV14" s="155" t="str">
        <f t="shared" si="5"/>
        <v>#REF!</v>
      </c>
      <c r="BW14" s="156" t="str">
        <f t="shared" si="6"/>
        <v>#REF!</v>
      </c>
      <c r="BX14" s="157" t="str">
        <f t="shared" si="7"/>
        <v>#REF!</v>
      </c>
    </row>
    <row r="15" ht="12.0" customHeight="1">
      <c r="A15" s="101"/>
      <c r="B15" s="29"/>
      <c r="C15" s="30"/>
      <c r="D15" s="33" t="str">
        <f t="shared" ref="D15:E15" si="26">SUM('Oct 24:Sept 25'!D15)</f>
        <v>#REF!</v>
      </c>
      <c r="E15" s="154" t="str">
        <f t="shared" si="26"/>
        <v>#REF!</v>
      </c>
      <c r="F15" s="31"/>
      <c r="G15" s="32"/>
      <c r="H15" s="31"/>
      <c r="I15" s="32"/>
      <c r="J15" s="31"/>
      <c r="K15" s="32"/>
      <c r="L15" s="31"/>
      <c r="M15" s="32"/>
      <c r="N15" s="31"/>
      <c r="O15" s="32"/>
      <c r="P15" s="31"/>
      <c r="Q15" s="32"/>
      <c r="R15" s="31"/>
      <c r="S15" s="32"/>
      <c r="T15" s="31"/>
      <c r="U15" s="32"/>
      <c r="V15" s="31"/>
      <c r="W15" s="32"/>
      <c r="X15" s="34"/>
      <c r="Y15" s="35"/>
      <c r="Z15" s="34"/>
      <c r="AA15" s="35"/>
      <c r="AB15" s="34"/>
      <c r="AC15" s="35"/>
      <c r="AD15" s="34"/>
      <c r="AE15" s="35"/>
      <c r="AF15" s="34"/>
      <c r="AG15" s="35"/>
      <c r="AH15" s="34"/>
      <c r="AI15" s="35"/>
      <c r="AJ15" s="34"/>
      <c r="AK15" s="35"/>
      <c r="AL15" s="34"/>
      <c r="AM15" s="35"/>
      <c r="AN15" s="34"/>
      <c r="AO15" s="35"/>
      <c r="AP15" s="34"/>
      <c r="AQ15" s="35"/>
      <c r="AR15" s="34"/>
      <c r="AS15" s="35"/>
      <c r="AT15" s="34"/>
      <c r="AU15" s="35"/>
      <c r="AV15" s="34"/>
      <c r="AW15" s="35"/>
      <c r="AX15" s="34"/>
      <c r="AY15" s="37"/>
      <c r="AZ15" s="100"/>
      <c r="BA15" s="39"/>
      <c r="BB15" s="100"/>
      <c r="BC15" s="39"/>
      <c r="BD15" s="100"/>
      <c r="BE15" s="39"/>
      <c r="BF15" s="100"/>
      <c r="BG15" s="39"/>
      <c r="BH15" s="100"/>
      <c r="BI15" s="39"/>
      <c r="BJ15" s="100"/>
      <c r="BK15" s="39"/>
      <c r="BL15" s="100"/>
      <c r="BM15" s="39"/>
      <c r="BN15" s="100"/>
      <c r="BO15" s="39"/>
      <c r="BP15" s="100"/>
      <c r="BQ15" s="39"/>
      <c r="BR15" s="40" t="str">
        <f t="shared" ref="BR15:BS15" si="27">SUM('Oct 24:Sept 25'!BR15)</f>
        <v>#REF!</v>
      </c>
      <c r="BS15" s="41" t="str">
        <f t="shared" si="27"/>
        <v>#REF!</v>
      </c>
      <c r="BT15" s="42"/>
      <c r="BU15" s="42"/>
      <c r="BV15" s="155" t="str">
        <f t="shared" si="5"/>
        <v>#REF!</v>
      </c>
      <c r="BW15" s="156" t="str">
        <f t="shared" si="6"/>
        <v>#REF!</v>
      </c>
      <c r="BX15" s="157" t="str">
        <f t="shared" si="7"/>
        <v>#REF!</v>
      </c>
    </row>
    <row r="16" ht="12.0" customHeight="1">
      <c r="A16" s="101"/>
      <c r="B16" s="29"/>
      <c r="C16" s="30"/>
      <c r="D16" s="33" t="str">
        <f t="shared" ref="D16:E16" si="28">SUM('Oct 24:Sept 25'!D16)</f>
        <v>#REF!</v>
      </c>
      <c r="E16" s="154" t="str">
        <f t="shared" si="28"/>
        <v>#REF!</v>
      </c>
      <c r="F16" s="31"/>
      <c r="G16" s="32"/>
      <c r="H16" s="31"/>
      <c r="I16" s="32"/>
      <c r="J16" s="31"/>
      <c r="K16" s="32"/>
      <c r="L16" s="31"/>
      <c r="M16" s="32"/>
      <c r="N16" s="31"/>
      <c r="O16" s="32"/>
      <c r="P16" s="31"/>
      <c r="Q16" s="32"/>
      <c r="R16" s="31"/>
      <c r="S16" s="32"/>
      <c r="T16" s="31"/>
      <c r="U16" s="32"/>
      <c r="V16" s="31"/>
      <c r="W16" s="32"/>
      <c r="X16" s="34"/>
      <c r="Y16" s="35"/>
      <c r="Z16" s="34"/>
      <c r="AA16" s="35"/>
      <c r="AB16" s="34"/>
      <c r="AC16" s="35"/>
      <c r="AD16" s="34"/>
      <c r="AE16" s="35"/>
      <c r="AF16" s="34"/>
      <c r="AG16" s="35"/>
      <c r="AH16" s="34"/>
      <c r="AI16" s="35"/>
      <c r="AJ16" s="34"/>
      <c r="AK16" s="35"/>
      <c r="AL16" s="34"/>
      <c r="AM16" s="35"/>
      <c r="AN16" s="34"/>
      <c r="AO16" s="35"/>
      <c r="AP16" s="34"/>
      <c r="AQ16" s="35"/>
      <c r="AR16" s="34"/>
      <c r="AS16" s="35"/>
      <c r="AT16" s="34"/>
      <c r="AU16" s="35"/>
      <c r="AV16" s="34"/>
      <c r="AW16" s="35"/>
      <c r="AX16" s="34"/>
      <c r="AY16" s="37"/>
      <c r="AZ16" s="100"/>
      <c r="BA16" s="39"/>
      <c r="BB16" s="100"/>
      <c r="BC16" s="39"/>
      <c r="BD16" s="100"/>
      <c r="BE16" s="39"/>
      <c r="BF16" s="100"/>
      <c r="BG16" s="39"/>
      <c r="BH16" s="100"/>
      <c r="BI16" s="39"/>
      <c r="BJ16" s="100"/>
      <c r="BK16" s="39"/>
      <c r="BL16" s="100"/>
      <c r="BM16" s="39"/>
      <c r="BN16" s="100"/>
      <c r="BO16" s="39"/>
      <c r="BP16" s="100"/>
      <c r="BQ16" s="39"/>
      <c r="BR16" s="40" t="str">
        <f t="shared" ref="BR16:BS16" si="29">SUM('Oct 24:Sept 25'!BR16)</f>
        <v>#REF!</v>
      </c>
      <c r="BS16" s="41" t="str">
        <f t="shared" si="29"/>
        <v>#REF!</v>
      </c>
      <c r="BT16" s="42"/>
      <c r="BU16" s="42"/>
      <c r="BV16" s="155" t="str">
        <f t="shared" si="5"/>
        <v>#REF!</v>
      </c>
      <c r="BW16" s="156" t="str">
        <f t="shared" si="6"/>
        <v>#REF!</v>
      </c>
      <c r="BX16" s="157" t="str">
        <f t="shared" si="7"/>
        <v>#REF!</v>
      </c>
    </row>
    <row r="17" ht="12.0" customHeight="1">
      <c r="A17" s="101"/>
      <c r="B17" s="29"/>
      <c r="C17" s="30"/>
      <c r="D17" s="33" t="str">
        <f t="shared" ref="D17:E17" si="30">SUM('Oct 24:Sept 25'!D17)</f>
        <v>#REF!</v>
      </c>
      <c r="E17" s="154" t="str">
        <f t="shared" si="30"/>
        <v>#REF!</v>
      </c>
      <c r="F17" s="31"/>
      <c r="G17" s="32"/>
      <c r="H17" s="31"/>
      <c r="I17" s="32"/>
      <c r="J17" s="31"/>
      <c r="K17" s="32"/>
      <c r="L17" s="31"/>
      <c r="M17" s="32"/>
      <c r="N17" s="31"/>
      <c r="O17" s="32"/>
      <c r="P17" s="31"/>
      <c r="Q17" s="32"/>
      <c r="R17" s="31"/>
      <c r="S17" s="32"/>
      <c r="T17" s="31"/>
      <c r="U17" s="32"/>
      <c r="V17" s="31"/>
      <c r="W17" s="32"/>
      <c r="X17" s="34"/>
      <c r="Y17" s="35"/>
      <c r="Z17" s="34"/>
      <c r="AA17" s="35"/>
      <c r="AB17" s="34"/>
      <c r="AC17" s="35"/>
      <c r="AD17" s="34"/>
      <c r="AE17" s="35"/>
      <c r="AF17" s="34"/>
      <c r="AG17" s="35"/>
      <c r="AH17" s="34"/>
      <c r="AI17" s="35"/>
      <c r="AJ17" s="34"/>
      <c r="AK17" s="35"/>
      <c r="AL17" s="34"/>
      <c r="AM17" s="35"/>
      <c r="AN17" s="34"/>
      <c r="AO17" s="35"/>
      <c r="AP17" s="34"/>
      <c r="AQ17" s="35"/>
      <c r="AR17" s="34"/>
      <c r="AS17" s="35"/>
      <c r="AT17" s="34"/>
      <c r="AU17" s="35"/>
      <c r="AV17" s="34"/>
      <c r="AW17" s="35"/>
      <c r="AX17" s="34"/>
      <c r="AY17" s="37"/>
      <c r="AZ17" s="100"/>
      <c r="BA17" s="39"/>
      <c r="BB17" s="100"/>
      <c r="BC17" s="39"/>
      <c r="BD17" s="100"/>
      <c r="BE17" s="39"/>
      <c r="BF17" s="100"/>
      <c r="BG17" s="39"/>
      <c r="BH17" s="100"/>
      <c r="BI17" s="39"/>
      <c r="BJ17" s="100"/>
      <c r="BK17" s="39"/>
      <c r="BL17" s="100"/>
      <c r="BM17" s="39"/>
      <c r="BN17" s="100"/>
      <c r="BO17" s="39"/>
      <c r="BP17" s="100"/>
      <c r="BQ17" s="39"/>
      <c r="BR17" s="40" t="str">
        <f t="shared" ref="BR17:BS17" si="31">SUM('Oct 24:Sept 25'!BR17)</f>
        <v>#REF!</v>
      </c>
      <c r="BS17" s="41" t="str">
        <f t="shared" si="31"/>
        <v>#REF!</v>
      </c>
      <c r="BT17" s="42"/>
      <c r="BU17" s="42"/>
      <c r="BV17" s="155" t="str">
        <f t="shared" si="5"/>
        <v>#REF!</v>
      </c>
      <c r="BW17" s="156" t="str">
        <f t="shared" si="6"/>
        <v>#REF!</v>
      </c>
      <c r="BX17" s="157" t="str">
        <f t="shared" si="7"/>
        <v>#REF!</v>
      </c>
    </row>
    <row r="18" ht="12.0" customHeight="1">
      <c r="A18" s="101"/>
      <c r="B18" s="29"/>
      <c r="C18" s="30"/>
      <c r="D18" s="33" t="str">
        <f t="shared" ref="D18:E18" si="32">SUM('Oct 24:Sept 25'!D18)</f>
        <v>#REF!</v>
      </c>
      <c r="E18" s="154" t="str">
        <f t="shared" si="32"/>
        <v>#REF!</v>
      </c>
      <c r="F18" s="31"/>
      <c r="G18" s="32"/>
      <c r="H18" s="31"/>
      <c r="I18" s="32"/>
      <c r="J18" s="31"/>
      <c r="K18" s="32"/>
      <c r="L18" s="31"/>
      <c r="M18" s="32"/>
      <c r="N18" s="31"/>
      <c r="O18" s="32"/>
      <c r="P18" s="31"/>
      <c r="Q18" s="32"/>
      <c r="R18" s="31"/>
      <c r="S18" s="32"/>
      <c r="T18" s="31"/>
      <c r="U18" s="32"/>
      <c r="V18" s="31"/>
      <c r="W18" s="32"/>
      <c r="X18" s="34"/>
      <c r="Y18" s="35"/>
      <c r="Z18" s="34"/>
      <c r="AA18" s="35"/>
      <c r="AB18" s="34"/>
      <c r="AC18" s="35"/>
      <c r="AD18" s="34"/>
      <c r="AE18" s="35"/>
      <c r="AF18" s="34"/>
      <c r="AG18" s="35"/>
      <c r="AH18" s="34"/>
      <c r="AI18" s="35"/>
      <c r="AJ18" s="34"/>
      <c r="AK18" s="35"/>
      <c r="AL18" s="34"/>
      <c r="AM18" s="35"/>
      <c r="AN18" s="34"/>
      <c r="AO18" s="35"/>
      <c r="AP18" s="34"/>
      <c r="AQ18" s="35"/>
      <c r="AR18" s="34"/>
      <c r="AS18" s="35"/>
      <c r="AT18" s="34"/>
      <c r="AU18" s="35"/>
      <c r="AV18" s="34"/>
      <c r="AW18" s="35"/>
      <c r="AX18" s="34"/>
      <c r="AY18" s="37"/>
      <c r="AZ18" s="100"/>
      <c r="BA18" s="39"/>
      <c r="BB18" s="100"/>
      <c r="BC18" s="39"/>
      <c r="BD18" s="100"/>
      <c r="BE18" s="39"/>
      <c r="BF18" s="100"/>
      <c r="BG18" s="39"/>
      <c r="BH18" s="100"/>
      <c r="BI18" s="39"/>
      <c r="BJ18" s="100"/>
      <c r="BK18" s="39"/>
      <c r="BL18" s="100"/>
      <c r="BM18" s="39"/>
      <c r="BN18" s="100"/>
      <c r="BO18" s="39"/>
      <c r="BP18" s="100"/>
      <c r="BQ18" s="39"/>
      <c r="BR18" s="40" t="str">
        <f t="shared" ref="BR18:BS18" si="33">SUM('Oct 24:Sept 25'!BR18)</f>
        <v>#REF!</v>
      </c>
      <c r="BS18" s="41" t="str">
        <f t="shared" si="33"/>
        <v>#REF!</v>
      </c>
      <c r="BT18" s="42"/>
      <c r="BU18" s="42"/>
      <c r="BV18" s="155" t="str">
        <f t="shared" si="5"/>
        <v>#REF!</v>
      </c>
      <c r="BW18" s="156" t="str">
        <f t="shared" si="6"/>
        <v>#REF!</v>
      </c>
      <c r="BX18" s="157" t="str">
        <f t="shared" si="7"/>
        <v>#REF!</v>
      </c>
    </row>
    <row r="19" ht="12.0" customHeight="1">
      <c r="A19" s="101"/>
      <c r="B19" s="29"/>
      <c r="C19" s="30"/>
      <c r="D19" s="33" t="str">
        <f t="shared" ref="D19:E19" si="34">SUM('Oct 24:Sept 25'!D19)</f>
        <v>#REF!</v>
      </c>
      <c r="E19" s="154" t="str">
        <f t="shared" si="34"/>
        <v>#REF!</v>
      </c>
      <c r="F19" s="31"/>
      <c r="G19" s="32"/>
      <c r="H19" s="31"/>
      <c r="I19" s="32"/>
      <c r="J19" s="31"/>
      <c r="K19" s="32"/>
      <c r="L19" s="31"/>
      <c r="M19" s="32"/>
      <c r="N19" s="31"/>
      <c r="O19" s="32"/>
      <c r="P19" s="31"/>
      <c r="Q19" s="32"/>
      <c r="R19" s="31"/>
      <c r="S19" s="32"/>
      <c r="T19" s="31"/>
      <c r="U19" s="32"/>
      <c r="V19" s="31"/>
      <c r="W19" s="32"/>
      <c r="X19" s="34"/>
      <c r="Y19" s="35"/>
      <c r="Z19" s="34"/>
      <c r="AA19" s="35"/>
      <c r="AB19" s="34"/>
      <c r="AC19" s="35"/>
      <c r="AD19" s="34"/>
      <c r="AE19" s="35"/>
      <c r="AF19" s="34"/>
      <c r="AG19" s="35"/>
      <c r="AH19" s="34"/>
      <c r="AI19" s="35"/>
      <c r="AJ19" s="34"/>
      <c r="AK19" s="35"/>
      <c r="AL19" s="34"/>
      <c r="AM19" s="35"/>
      <c r="AN19" s="34"/>
      <c r="AO19" s="35"/>
      <c r="AP19" s="34"/>
      <c r="AQ19" s="35"/>
      <c r="AR19" s="34"/>
      <c r="AS19" s="35"/>
      <c r="AT19" s="34"/>
      <c r="AU19" s="35"/>
      <c r="AV19" s="34"/>
      <c r="AW19" s="35"/>
      <c r="AX19" s="34"/>
      <c r="AY19" s="37"/>
      <c r="AZ19" s="100"/>
      <c r="BA19" s="39"/>
      <c r="BB19" s="100"/>
      <c r="BC19" s="39"/>
      <c r="BD19" s="100"/>
      <c r="BE19" s="39"/>
      <c r="BF19" s="100"/>
      <c r="BG19" s="39"/>
      <c r="BH19" s="100"/>
      <c r="BI19" s="39"/>
      <c r="BJ19" s="100"/>
      <c r="BK19" s="39"/>
      <c r="BL19" s="100"/>
      <c r="BM19" s="39"/>
      <c r="BN19" s="100"/>
      <c r="BO19" s="39"/>
      <c r="BP19" s="100"/>
      <c r="BQ19" s="39"/>
      <c r="BR19" s="40" t="str">
        <f t="shared" ref="BR19:BS19" si="35">SUM('Oct 24:Sept 25'!BR19)</f>
        <v>#REF!</v>
      </c>
      <c r="BS19" s="41" t="str">
        <f t="shared" si="35"/>
        <v>#REF!</v>
      </c>
      <c r="BT19" s="42"/>
      <c r="BU19" s="42"/>
      <c r="BV19" s="155" t="str">
        <f t="shared" si="5"/>
        <v>#REF!</v>
      </c>
      <c r="BW19" s="156" t="str">
        <f t="shared" si="6"/>
        <v>#REF!</v>
      </c>
      <c r="BX19" s="157" t="str">
        <f t="shared" si="7"/>
        <v>#REF!</v>
      </c>
    </row>
    <row r="20" ht="12.0" customHeight="1">
      <c r="A20" s="101"/>
      <c r="B20" s="29"/>
      <c r="C20" s="30"/>
      <c r="D20" s="33" t="str">
        <f t="shared" ref="D20:E20" si="36">SUM('Oct 24:Sept 25'!D20)</f>
        <v>#REF!</v>
      </c>
      <c r="E20" s="154" t="str">
        <f t="shared" si="36"/>
        <v>#REF!</v>
      </c>
      <c r="F20" s="31"/>
      <c r="G20" s="32"/>
      <c r="H20" s="31"/>
      <c r="I20" s="32"/>
      <c r="J20" s="31"/>
      <c r="K20" s="32"/>
      <c r="L20" s="31"/>
      <c r="M20" s="32"/>
      <c r="N20" s="31"/>
      <c r="O20" s="32"/>
      <c r="P20" s="31"/>
      <c r="Q20" s="32"/>
      <c r="R20" s="31"/>
      <c r="S20" s="32"/>
      <c r="T20" s="31"/>
      <c r="U20" s="32"/>
      <c r="V20" s="31"/>
      <c r="W20" s="32"/>
      <c r="X20" s="34"/>
      <c r="Y20" s="35"/>
      <c r="Z20" s="34"/>
      <c r="AA20" s="35"/>
      <c r="AB20" s="34"/>
      <c r="AC20" s="35"/>
      <c r="AD20" s="34"/>
      <c r="AE20" s="35"/>
      <c r="AF20" s="34"/>
      <c r="AG20" s="35"/>
      <c r="AH20" s="34"/>
      <c r="AI20" s="35"/>
      <c r="AJ20" s="34"/>
      <c r="AK20" s="35"/>
      <c r="AL20" s="34"/>
      <c r="AM20" s="35"/>
      <c r="AN20" s="34"/>
      <c r="AO20" s="35"/>
      <c r="AP20" s="34"/>
      <c r="AQ20" s="35"/>
      <c r="AR20" s="34"/>
      <c r="AS20" s="35"/>
      <c r="AT20" s="34"/>
      <c r="AU20" s="35"/>
      <c r="AV20" s="34"/>
      <c r="AW20" s="35"/>
      <c r="AX20" s="34"/>
      <c r="AY20" s="37"/>
      <c r="AZ20" s="100"/>
      <c r="BA20" s="39"/>
      <c r="BB20" s="100"/>
      <c r="BC20" s="39"/>
      <c r="BD20" s="100"/>
      <c r="BE20" s="39"/>
      <c r="BF20" s="100"/>
      <c r="BG20" s="39"/>
      <c r="BH20" s="100"/>
      <c r="BI20" s="39"/>
      <c r="BJ20" s="100"/>
      <c r="BK20" s="39"/>
      <c r="BL20" s="100"/>
      <c r="BM20" s="39"/>
      <c r="BN20" s="100"/>
      <c r="BO20" s="39"/>
      <c r="BP20" s="100"/>
      <c r="BQ20" s="39"/>
      <c r="BR20" s="40" t="str">
        <f t="shared" ref="BR20:BS20" si="37">SUM('Oct 24:Sept 25'!BR20)</f>
        <v>#REF!</v>
      </c>
      <c r="BS20" s="41" t="str">
        <f t="shared" si="37"/>
        <v>#REF!</v>
      </c>
      <c r="BT20" s="42"/>
      <c r="BU20" s="42"/>
      <c r="BV20" s="155" t="str">
        <f t="shared" si="5"/>
        <v>#REF!</v>
      </c>
      <c r="BW20" s="156" t="str">
        <f t="shared" si="6"/>
        <v>#REF!</v>
      </c>
      <c r="BX20" s="157" t="str">
        <f t="shared" si="7"/>
        <v>#REF!</v>
      </c>
    </row>
    <row r="21" ht="12.0" customHeight="1">
      <c r="A21" s="101"/>
      <c r="B21" s="29"/>
      <c r="C21" s="30"/>
      <c r="D21" s="33" t="str">
        <f t="shared" ref="D21:E21" si="38">SUM('Oct 24:Sept 25'!D21)</f>
        <v>#REF!</v>
      </c>
      <c r="E21" s="154" t="str">
        <f t="shared" si="38"/>
        <v>#REF!</v>
      </c>
      <c r="F21" s="31"/>
      <c r="G21" s="32"/>
      <c r="H21" s="31"/>
      <c r="I21" s="32"/>
      <c r="J21" s="31"/>
      <c r="K21" s="32"/>
      <c r="L21" s="31"/>
      <c r="M21" s="32"/>
      <c r="N21" s="31"/>
      <c r="O21" s="32"/>
      <c r="P21" s="31"/>
      <c r="Q21" s="32"/>
      <c r="R21" s="31"/>
      <c r="S21" s="32"/>
      <c r="T21" s="31"/>
      <c r="U21" s="32"/>
      <c r="V21" s="31"/>
      <c r="W21" s="32"/>
      <c r="X21" s="34"/>
      <c r="Y21" s="35"/>
      <c r="Z21" s="34"/>
      <c r="AA21" s="35"/>
      <c r="AB21" s="34"/>
      <c r="AC21" s="35"/>
      <c r="AD21" s="34"/>
      <c r="AE21" s="35"/>
      <c r="AF21" s="34"/>
      <c r="AG21" s="35"/>
      <c r="AH21" s="34"/>
      <c r="AI21" s="35"/>
      <c r="AJ21" s="34"/>
      <c r="AK21" s="35"/>
      <c r="AL21" s="34"/>
      <c r="AM21" s="35"/>
      <c r="AN21" s="34"/>
      <c r="AO21" s="35"/>
      <c r="AP21" s="34"/>
      <c r="AQ21" s="35"/>
      <c r="AR21" s="34"/>
      <c r="AS21" s="35"/>
      <c r="AT21" s="34"/>
      <c r="AU21" s="35"/>
      <c r="AV21" s="34"/>
      <c r="AW21" s="35"/>
      <c r="AX21" s="34"/>
      <c r="AY21" s="37"/>
      <c r="AZ21" s="100"/>
      <c r="BA21" s="39"/>
      <c r="BB21" s="100"/>
      <c r="BC21" s="39"/>
      <c r="BD21" s="100"/>
      <c r="BE21" s="39"/>
      <c r="BF21" s="100"/>
      <c r="BG21" s="39"/>
      <c r="BH21" s="100"/>
      <c r="BI21" s="39"/>
      <c r="BJ21" s="100"/>
      <c r="BK21" s="39"/>
      <c r="BL21" s="100"/>
      <c r="BM21" s="39"/>
      <c r="BN21" s="100"/>
      <c r="BO21" s="39"/>
      <c r="BP21" s="100"/>
      <c r="BQ21" s="39"/>
      <c r="BR21" s="40" t="str">
        <f t="shared" ref="BR21:BS21" si="39">SUM('Oct 24:Sept 25'!BR21)</f>
        <v>#REF!</v>
      </c>
      <c r="BS21" s="41" t="str">
        <f t="shared" si="39"/>
        <v>#REF!</v>
      </c>
      <c r="BT21" s="42"/>
      <c r="BU21" s="42"/>
      <c r="BV21" s="155" t="str">
        <f t="shared" si="5"/>
        <v>#REF!</v>
      </c>
      <c r="BW21" s="156" t="str">
        <f t="shared" si="6"/>
        <v>#REF!</v>
      </c>
      <c r="BX21" s="157" t="str">
        <f t="shared" si="7"/>
        <v>#REF!</v>
      </c>
    </row>
    <row r="22" ht="12.0" customHeight="1">
      <c r="A22" s="101"/>
      <c r="B22" s="29"/>
      <c r="C22" s="30"/>
      <c r="D22" s="33" t="str">
        <f t="shared" ref="D22:E22" si="40">SUM('Oct 24:Sept 25'!D22)</f>
        <v>#REF!</v>
      </c>
      <c r="E22" s="154" t="str">
        <f t="shared" si="40"/>
        <v>#REF!</v>
      </c>
      <c r="F22" s="31"/>
      <c r="G22" s="32"/>
      <c r="H22" s="31"/>
      <c r="I22" s="32"/>
      <c r="J22" s="31"/>
      <c r="K22" s="32"/>
      <c r="L22" s="31"/>
      <c r="M22" s="32"/>
      <c r="N22" s="31"/>
      <c r="O22" s="32"/>
      <c r="P22" s="31"/>
      <c r="Q22" s="32"/>
      <c r="R22" s="31"/>
      <c r="S22" s="32"/>
      <c r="T22" s="31"/>
      <c r="U22" s="32"/>
      <c r="V22" s="31"/>
      <c r="W22" s="32"/>
      <c r="X22" s="34"/>
      <c r="Y22" s="35"/>
      <c r="Z22" s="34"/>
      <c r="AA22" s="35"/>
      <c r="AB22" s="34"/>
      <c r="AC22" s="35"/>
      <c r="AD22" s="34"/>
      <c r="AE22" s="35"/>
      <c r="AF22" s="34"/>
      <c r="AG22" s="35"/>
      <c r="AH22" s="34"/>
      <c r="AI22" s="35"/>
      <c r="AJ22" s="34"/>
      <c r="AK22" s="35"/>
      <c r="AL22" s="34"/>
      <c r="AM22" s="35"/>
      <c r="AN22" s="34"/>
      <c r="AO22" s="35"/>
      <c r="AP22" s="34"/>
      <c r="AQ22" s="35"/>
      <c r="AR22" s="34"/>
      <c r="AS22" s="35"/>
      <c r="AT22" s="34"/>
      <c r="AU22" s="35"/>
      <c r="AV22" s="34"/>
      <c r="AW22" s="35"/>
      <c r="AX22" s="34"/>
      <c r="AY22" s="37"/>
      <c r="AZ22" s="100"/>
      <c r="BA22" s="39"/>
      <c r="BB22" s="100"/>
      <c r="BC22" s="39"/>
      <c r="BD22" s="100"/>
      <c r="BE22" s="39"/>
      <c r="BF22" s="100"/>
      <c r="BG22" s="39"/>
      <c r="BH22" s="100"/>
      <c r="BI22" s="39"/>
      <c r="BJ22" s="100"/>
      <c r="BK22" s="39"/>
      <c r="BL22" s="100"/>
      <c r="BM22" s="39"/>
      <c r="BN22" s="100"/>
      <c r="BO22" s="39"/>
      <c r="BP22" s="100"/>
      <c r="BQ22" s="39"/>
      <c r="BR22" s="40" t="str">
        <f t="shared" ref="BR22:BS22" si="41">SUM('Oct 24:Sept 25'!BR22)</f>
        <v>#REF!</v>
      </c>
      <c r="BS22" s="41" t="str">
        <f t="shared" si="41"/>
        <v>#REF!</v>
      </c>
      <c r="BT22" s="42"/>
      <c r="BU22" s="42"/>
      <c r="BV22" s="155" t="str">
        <f t="shared" si="5"/>
        <v>#REF!</v>
      </c>
      <c r="BW22" s="156" t="str">
        <f t="shared" si="6"/>
        <v>#REF!</v>
      </c>
      <c r="BX22" s="157" t="str">
        <f t="shared" si="7"/>
        <v>#REF!</v>
      </c>
    </row>
    <row r="23" ht="12.0" customHeight="1">
      <c r="A23" s="101"/>
      <c r="B23" s="29"/>
      <c r="C23" s="30"/>
      <c r="D23" s="33" t="str">
        <f t="shared" ref="D23:E23" si="42">SUM('Oct 24:Sept 25'!D23)</f>
        <v>#REF!</v>
      </c>
      <c r="E23" s="154" t="str">
        <f t="shared" si="42"/>
        <v>#REF!</v>
      </c>
      <c r="F23" s="31"/>
      <c r="G23" s="32"/>
      <c r="H23" s="31"/>
      <c r="I23" s="32"/>
      <c r="J23" s="31"/>
      <c r="K23" s="32"/>
      <c r="L23" s="31"/>
      <c r="M23" s="32"/>
      <c r="N23" s="31"/>
      <c r="O23" s="32"/>
      <c r="P23" s="31"/>
      <c r="Q23" s="32"/>
      <c r="R23" s="31"/>
      <c r="S23" s="32"/>
      <c r="T23" s="31"/>
      <c r="U23" s="32"/>
      <c r="V23" s="31"/>
      <c r="W23" s="32"/>
      <c r="X23" s="34"/>
      <c r="Y23" s="35"/>
      <c r="Z23" s="34"/>
      <c r="AA23" s="35"/>
      <c r="AB23" s="34"/>
      <c r="AC23" s="35"/>
      <c r="AD23" s="34"/>
      <c r="AE23" s="35"/>
      <c r="AF23" s="34"/>
      <c r="AG23" s="35"/>
      <c r="AH23" s="34"/>
      <c r="AI23" s="35"/>
      <c r="AJ23" s="34"/>
      <c r="AK23" s="35"/>
      <c r="AL23" s="34"/>
      <c r="AM23" s="35"/>
      <c r="AN23" s="34"/>
      <c r="AO23" s="35"/>
      <c r="AP23" s="34"/>
      <c r="AQ23" s="35"/>
      <c r="AR23" s="34"/>
      <c r="AS23" s="35"/>
      <c r="AT23" s="34"/>
      <c r="AU23" s="35"/>
      <c r="AV23" s="34"/>
      <c r="AW23" s="35"/>
      <c r="AX23" s="34"/>
      <c r="AY23" s="37"/>
      <c r="AZ23" s="100"/>
      <c r="BA23" s="39"/>
      <c r="BB23" s="100"/>
      <c r="BC23" s="39"/>
      <c r="BD23" s="100"/>
      <c r="BE23" s="39"/>
      <c r="BF23" s="100"/>
      <c r="BG23" s="39"/>
      <c r="BH23" s="100"/>
      <c r="BI23" s="39"/>
      <c r="BJ23" s="100"/>
      <c r="BK23" s="39"/>
      <c r="BL23" s="100"/>
      <c r="BM23" s="39"/>
      <c r="BN23" s="100"/>
      <c r="BO23" s="39"/>
      <c r="BP23" s="100"/>
      <c r="BQ23" s="39"/>
      <c r="BR23" s="40" t="str">
        <f t="shared" ref="BR23:BS23" si="43">SUM('Oct 24:Sept 25'!BR23)</f>
        <v>#REF!</v>
      </c>
      <c r="BS23" s="41" t="str">
        <f t="shared" si="43"/>
        <v>#REF!</v>
      </c>
      <c r="BT23" s="42"/>
      <c r="BU23" s="42"/>
      <c r="BV23" s="155" t="str">
        <f t="shared" si="5"/>
        <v>#REF!</v>
      </c>
      <c r="BW23" s="156" t="str">
        <f t="shared" si="6"/>
        <v>#REF!</v>
      </c>
      <c r="BX23" s="157" t="str">
        <f t="shared" si="7"/>
        <v>#REF!</v>
      </c>
    </row>
    <row r="24" ht="12.0" customHeight="1">
      <c r="A24" s="101"/>
      <c r="B24" s="29"/>
      <c r="C24" s="30"/>
      <c r="D24" s="33" t="str">
        <f t="shared" ref="D24:E24" si="44">SUM('Oct 24:Sept 25'!D24)</f>
        <v>#REF!</v>
      </c>
      <c r="E24" s="154" t="str">
        <f t="shared" si="44"/>
        <v>#REF!</v>
      </c>
      <c r="F24" s="31"/>
      <c r="G24" s="32"/>
      <c r="H24" s="31"/>
      <c r="I24" s="32"/>
      <c r="J24" s="31"/>
      <c r="K24" s="32"/>
      <c r="L24" s="31"/>
      <c r="M24" s="32"/>
      <c r="N24" s="31"/>
      <c r="O24" s="32"/>
      <c r="P24" s="31"/>
      <c r="Q24" s="32"/>
      <c r="R24" s="31"/>
      <c r="S24" s="32"/>
      <c r="T24" s="31"/>
      <c r="U24" s="32"/>
      <c r="V24" s="31"/>
      <c r="W24" s="32"/>
      <c r="X24" s="34"/>
      <c r="Y24" s="35"/>
      <c r="Z24" s="34"/>
      <c r="AA24" s="35"/>
      <c r="AB24" s="34"/>
      <c r="AC24" s="35"/>
      <c r="AD24" s="34"/>
      <c r="AE24" s="35"/>
      <c r="AF24" s="34"/>
      <c r="AG24" s="35"/>
      <c r="AH24" s="34"/>
      <c r="AI24" s="35"/>
      <c r="AJ24" s="34"/>
      <c r="AK24" s="35"/>
      <c r="AL24" s="34"/>
      <c r="AM24" s="35"/>
      <c r="AN24" s="34"/>
      <c r="AO24" s="35"/>
      <c r="AP24" s="34"/>
      <c r="AQ24" s="35"/>
      <c r="AR24" s="34"/>
      <c r="AS24" s="35"/>
      <c r="AT24" s="34"/>
      <c r="AU24" s="35"/>
      <c r="AV24" s="34"/>
      <c r="AW24" s="35"/>
      <c r="AX24" s="34"/>
      <c r="AY24" s="37"/>
      <c r="AZ24" s="100"/>
      <c r="BA24" s="39"/>
      <c r="BB24" s="100"/>
      <c r="BC24" s="39"/>
      <c r="BD24" s="100"/>
      <c r="BE24" s="39"/>
      <c r="BF24" s="100"/>
      <c r="BG24" s="39"/>
      <c r="BH24" s="100"/>
      <c r="BI24" s="39"/>
      <c r="BJ24" s="100"/>
      <c r="BK24" s="39"/>
      <c r="BL24" s="100"/>
      <c r="BM24" s="39"/>
      <c r="BN24" s="100"/>
      <c r="BO24" s="39"/>
      <c r="BP24" s="100"/>
      <c r="BQ24" s="39"/>
      <c r="BR24" s="40" t="str">
        <f t="shared" ref="BR24:BS24" si="45">SUM('Oct 24:Sept 25'!BR24)</f>
        <v>#REF!</v>
      </c>
      <c r="BS24" s="41" t="str">
        <f t="shared" si="45"/>
        <v>#REF!</v>
      </c>
      <c r="BT24" s="42"/>
      <c r="BU24" s="42"/>
      <c r="BV24" s="155" t="str">
        <f t="shared" si="5"/>
        <v>#REF!</v>
      </c>
      <c r="BW24" s="156" t="str">
        <f t="shared" si="6"/>
        <v>#REF!</v>
      </c>
      <c r="BX24" s="157" t="str">
        <f t="shared" si="7"/>
        <v>#REF!</v>
      </c>
    </row>
    <row r="25" ht="12.0" customHeight="1">
      <c r="A25" s="101"/>
      <c r="B25" s="29"/>
      <c r="C25" s="30"/>
      <c r="D25" s="33" t="str">
        <f t="shared" ref="D25:E25" si="46">SUM('Oct 24:Sept 25'!D25)</f>
        <v>#REF!</v>
      </c>
      <c r="E25" s="154" t="str">
        <f t="shared" si="46"/>
        <v>#REF!</v>
      </c>
      <c r="F25" s="31"/>
      <c r="G25" s="32"/>
      <c r="H25" s="31"/>
      <c r="I25" s="32"/>
      <c r="J25" s="31"/>
      <c r="K25" s="32"/>
      <c r="L25" s="31"/>
      <c r="M25" s="32"/>
      <c r="N25" s="31"/>
      <c r="O25" s="32"/>
      <c r="P25" s="31"/>
      <c r="Q25" s="32"/>
      <c r="R25" s="31"/>
      <c r="S25" s="32"/>
      <c r="T25" s="31"/>
      <c r="U25" s="32"/>
      <c r="V25" s="31"/>
      <c r="W25" s="32"/>
      <c r="X25" s="34"/>
      <c r="Y25" s="35"/>
      <c r="Z25" s="34"/>
      <c r="AA25" s="35"/>
      <c r="AB25" s="34"/>
      <c r="AC25" s="35"/>
      <c r="AD25" s="34"/>
      <c r="AE25" s="35"/>
      <c r="AF25" s="34"/>
      <c r="AG25" s="35"/>
      <c r="AH25" s="34"/>
      <c r="AI25" s="35"/>
      <c r="AJ25" s="34"/>
      <c r="AK25" s="35"/>
      <c r="AL25" s="34"/>
      <c r="AM25" s="35"/>
      <c r="AN25" s="34"/>
      <c r="AO25" s="35"/>
      <c r="AP25" s="34"/>
      <c r="AQ25" s="35"/>
      <c r="AR25" s="34"/>
      <c r="AS25" s="35"/>
      <c r="AT25" s="34"/>
      <c r="AU25" s="35"/>
      <c r="AV25" s="34"/>
      <c r="AW25" s="35"/>
      <c r="AX25" s="34"/>
      <c r="AY25" s="37"/>
      <c r="AZ25" s="100"/>
      <c r="BA25" s="39"/>
      <c r="BB25" s="100"/>
      <c r="BC25" s="39"/>
      <c r="BD25" s="100"/>
      <c r="BE25" s="39"/>
      <c r="BF25" s="100"/>
      <c r="BG25" s="39"/>
      <c r="BH25" s="100"/>
      <c r="BI25" s="39"/>
      <c r="BJ25" s="100"/>
      <c r="BK25" s="39"/>
      <c r="BL25" s="100"/>
      <c r="BM25" s="39"/>
      <c r="BN25" s="100"/>
      <c r="BO25" s="39"/>
      <c r="BP25" s="100"/>
      <c r="BQ25" s="39"/>
      <c r="BR25" s="40" t="str">
        <f t="shared" ref="BR25:BS25" si="47">SUM('Oct 24:Sept 25'!BR25)</f>
        <v>#REF!</v>
      </c>
      <c r="BS25" s="41" t="str">
        <f t="shared" si="47"/>
        <v>#REF!</v>
      </c>
      <c r="BT25" s="42"/>
      <c r="BU25" s="42"/>
      <c r="BV25" s="155" t="str">
        <f t="shared" si="5"/>
        <v>#REF!</v>
      </c>
      <c r="BW25" s="156" t="str">
        <f t="shared" si="6"/>
        <v>#REF!</v>
      </c>
      <c r="BX25" s="157" t="str">
        <f t="shared" si="7"/>
        <v>#REF!</v>
      </c>
    </row>
    <row r="26" ht="12.0" customHeight="1">
      <c r="A26" s="101"/>
      <c r="B26" s="29"/>
      <c r="C26" s="30"/>
      <c r="D26" s="33" t="str">
        <f t="shared" ref="D26:E26" si="48">SUM('Oct 24:Sept 25'!D26)</f>
        <v>#REF!</v>
      </c>
      <c r="E26" s="154" t="str">
        <f t="shared" si="48"/>
        <v>#REF!</v>
      </c>
      <c r="F26" s="31"/>
      <c r="G26" s="32"/>
      <c r="H26" s="31"/>
      <c r="I26" s="32"/>
      <c r="J26" s="31"/>
      <c r="K26" s="32"/>
      <c r="L26" s="31"/>
      <c r="M26" s="32"/>
      <c r="N26" s="31"/>
      <c r="O26" s="32"/>
      <c r="P26" s="31"/>
      <c r="Q26" s="32"/>
      <c r="R26" s="31"/>
      <c r="S26" s="32"/>
      <c r="T26" s="31"/>
      <c r="U26" s="32"/>
      <c r="V26" s="31"/>
      <c r="W26" s="32"/>
      <c r="X26" s="34"/>
      <c r="Y26" s="35"/>
      <c r="Z26" s="34"/>
      <c r="AA26" s="35"/>
      <c r="AB26" s="34"/>
      <c r="AC26" s="35"/>
      <c r="AD26" s="34"/>
      <c r="AE26" s="35"/>
      <c r="AF26" s="34"/>
      <c r="AG26" s="35"/>
      <c r="AH26" s="34"/>
      <c r="AI26" s="35"/>
      <c r="AJ26" s="34"/>
      <c r="AK26" s="35"/>
      <c r="AL26" s="34"/>
      <c r="AM26" s="35"/>
      <c r="AN26" s="34"/>
      <c r="AO26" s="35"/>
      <c r="AP26" s="34"/>
      <c r="AQ26" s="35"/>
      <c r="AR26" s="34"/>
      <c r="AS26" s="35"/>
      <c r="AT26" s="34"/>
      <c r="AU26" s="35"/>
      <c r="AV26" s="34"/>
      <c r="AW26" s="35"/>
      <c r="AX26" s="34"/>
      <c r="AY26" s="37"/>
      <c r="AZ26" s="100"/>
      <c r="BA26" s="39"/>
      <c r="BB26" s="100"/>
      <c r="BC26" s="39"/>
      <c r="BD26" s="100"/>
      <c r="BE26" s="39"/>
      <c r="BF26" s="100"/>
      <c r="BG26" s="39"/>
      <c r="BH26" s="100"/>
      <c r="BI26" s="39"/>
      <c r="BJ26" s="100"/>
      <c r="BK26" s="39"/>
      <c r="BL26" s="100"/>
      <c r="BM26" s="39"/>
      <c r="BN26" s="100"/>
      <c r="BO26" s="39"/>
      <c r="BP26" s="100"/>
      <c r="BQ26" s="39"/>
      <c r="BR26" s="40" t="str">
        <f t="shared" ref="BR26:BS26" si="49">SUM('Oct 24:Sept 25'!BR26)</f>
        <v>#REF!</v>
      </c>
      <c r="BS26" s="41" t="str">
        <f t="shared" si="49"/>
        <v>#REF!</v>
      </c>
      <c r="BT26" s="42"/>
      <c r="BU26" s="42"/>
      <c r="BV26" s="155" t="str">
        <f t="shared" si="5"/>
        <v>#REF!</v>
      </c>
      <c r="BW26" s="156" t="str">
        <f t="shared" si="6"/>
        <v>#REF!</v>
      </c>
      <c r="BX26" s="157" t="str">
        <f t="shared" si="7"/>
        <v>#REF!</v>
      </c>
    </row>
    <row r="27" ht="12.0" customHeight="1">
      <c r="A27" s="101"/>
      <c r="B27" s="29"/>
      <c r="C27" s="30"/>
      <c r="D27" s="33" t="str">
        <f t="shared" ref="D27:E27" si="50">SUM('Oct 24:Sept 25'!D27)</f>
        <v>#REF!</v>
      </c>
      <c r="E27" s="154" t="str">
        <f t="shared" si="50"/>
        <v>#REF!</v>
      </c>
      <c r="F27" s="31"/>
      <c r="G27" s="32"/>
      <c r="H27" s="31"/>
      <c r="I27" s="32"/>
      <c r="J27" s="31"/>
      <c r="K27" s="32"/>
      <c r="L27" s="31"/>
      <c r="M27" s="32"/>
      <c r="N27" s="31"/>
      <c r="O27" s="32"/>
      <c r="P27" s="31"/>
      <c r="Q27" s="32"/>
      <c r="R27" s="31"/>
      <c r="S27" s="32"/>
      <c r="T27" s="31"/>
      <c r="U27" s="32"/>
      <c r="V27" s="31"/>
      <c r="W27" s="32"/>
      <c r="X27" s="34"/>
      <c r="Y27" s="35"/>
      <c r="Z27" s="34"/>
      <c r="AA27" s="35"/>
      <c r="AB27" s="34"/>
      <c r="AC27" s="35"/>
      <c r="AD27" s="34"/>
      <c r="AE27" s="35"/>
      <c r="AF27" s="34"/>
      <c r="AG27" s="35"/>
      <c r="AH27" s="34"/>
      <c r="AI27" s="35"/>
      <c r="AJ27" s="34"/>
      <c r="AK27" s="35"/>
      <c r="AL27" s="34"/>
      <c r="AM27" s="35"/>
      <c r="AN27" s="34"/>
      <c r="AO27" s="35"/>
      <c r="AP27" s="34"/>
      <c r="AQ27" s="35"/>
      <c r="AR27" s="34"/>
      <c r="AS27" s="35"/>
      <c r="AT27" s="34"/>
      <c r="AU27" s="35"/>
      <c r="AV27" s="34"/>
      <c r="AW27" s="35"/>
      <c r="AX27" s="34"/>
      <c r="AY27" s="37"/>
      <c r="AZ27" s="100"/>
      <c r="BA27" s="39"/>
      <c r="BB27" s="100"/>
      <c r="BC27" s="39"/>
      <c r="BD27" s="100"/>
      <c r="BE27" s="39"/>
      <c r="BF27" s="100"/>
      <c r="BG27" s="39"/>
      <c r="BH27" s="100"/>
      <c r="BI27" s="39"/>
      <c r="BJ27" s="100"/>
      <c r="BK27" s="39"/>
      <c r="BL27" s="100"/>
      <c r="BM27" s="39"/>
      <c r="BN27" s="100"/>
      <c r="BO27" s="39"/>
      <c r="BP27" s="100"/>
      <c r="BQ27" s="39"/>
      <c r="BR27" s="40" t="str">
        <f t="shared" ref="BR27:BS27" si="51">SUM('Oct 24:Sept 25'!BR27)</f>
        <v>#REF!</v>
      </c>
      <c r="BS27" s="41" t="str">
        <f t="shared" si="51"/>
        <v>#REF!</v>
      </c>
      <c r="BT27" s="42"/>
      <c r="BU27" s="42"/>
      <c r="BV27" s="155" t="str">
        <f t="shared" si="5"/>
        <v>#REF!</v>
      </c>
      <c r="BW27" s="156" t="str">
        <f t="shared" si="6"/>
        <v>#REF!</v>
      </c>
      <c r="BX27" s="157" t="str">
        <f t="shared" si="7"/>
        <v>#REF!</v>
      </c>
    </row>
    <row r="28" ht="12.0" customHeight="1">
      <c r="A28" s="101"/>
      <c r="B28" s="29"/>
      <c r="C28" s="30"/>
      <c r="D28" s="33" t="str">
        <f t="shared" ref="D28:E28" si="52">SUM('Oct 24:Sept 25'!D28)</f>
        <v>#REF!</v>
      </c>
      <c r="E28" s="154" t="str">
        <f t="shared" si="52"/>
        <v>#REF!</v>
      </c>
      <c r="F28" s="31"/>
      <c r="G28" s="32"/>
      <c r="H28" s="31"/>
      <c r="I28" s="32"/>
      <c r="J28" s="31"/>
      <c r="K28" s="32"/>
      <c r="L28" s="31"/>
      <c r="M28" s="32"/>
      <c r="N28" s="31"/>
      <c r="O28" s="32"/>
      <c r="P28" s="31"/>
      <c r="Q28" s="32"/>
      <c r="R28" s="31"/>
      <c r="S28" s="32"/>
      <c r="T28" s="31"/>
      <c r="U28" s="32"/>
      <c r="V28" s="31"/>
      <c r="W28" s="32"/>
      <c r="X28" s="34"/>
      <c r="Y28" s="35"/>
      <c r="Z28" s="34"/>
      <c r="AA28" s="35"/>
      <c r="AB28" s="34"/>
      <c r="AC28" s="35"/>
      <c r="AD28" s="34"/>
      <c r="AE28" s="35"/>
      <c r="AF28" s="34"/>
      <c r="AG28" s="35"/>
      <c r="AH28" s="34"/>
      <c r="AI28" s="35"/>
      <c r="AJ28" s="34"/>
      <c r="AK28" s="35"/>
      <c r="AL28" s="34"/>
      <c r="AM28" s="35"/>
      <c r="AN28" s="34"/>
      <c r="AO28" s="35"/>
      <c r="AP28" s="34"/>
      <c r="AQ28" s="35"/>
      <c r="AR28" s="34"/>
      <c r="AS28" s="35"/>
      <c r="AT28" s="34"/>
      <c r="AU28" s="35"/>
      <c r="AV28" s="34"/>
      <c r="AW28" s="35"/>
      <c r="AX28" s="34"/>
      <c r="AY28" s="37"/>
      <c r="AZ28" s="100"/>
      <c r="BA28" s="39"/>
      <c r="BB28" s="100"/>
      <c r="BC28" s="39"/>
      <c r="BD28" s="100"/>
      <c r="BE28" s="39"/>
      <c r="BF28" s="100"/>
      <c r="BG28" s="39"/>
      <c r="BH28" s="100"/>
      <c r="BI28" s="39"/>
      <c r="BJ28" s="100"/>
      <c r="BK28" s="39"/>
      <c r="BL28" s="100"/>
      <c r="BM28" s="39"/>
      <c r="BN28" s="100"/>
      <c r="BO28" s="39"/>
      <c r="BP28" s="100"/>
      <c r="BQ28" s="39"/>
      <c r="BR28" s="40" t="str">
        <f t="shared" ref="BR28:BS28" si="53">SUM('Oct 24:Sept 25'!BR28)</f>
        <v>#REF!</v>
      </c>
      <c r="BS28" s="41" t="str">
        <f t="shared" si="53"/>
        <v>#REF!</v>
      </c>
      <c r="BT28" s="42"/>
      <c r="BU28" s="42"/>
      <c r="BV28" s="155" t="str">
        <f t="shared" si="5"/>
        <v>#REF!</v>
      </c>
      <c r="BW28" s="156" t="str">
        <f t="shared" si="6"/>
        <v>#REF!</v>
      </c>
      <c r="BX28" s="157" t="str">
        <f t="shared" si="7"/>
        <v>#REF!</v>
      </c>
    </row>
    <row r="29" ht="12.0" customHeight="1">
      <c r="A29" s="101"/>
      <c r="B29" s="29"/>
      <c r="C29" s="30"/>
      <c r="D29" s="33" t="str">
        <f t="shared" ref="D29:E29" si="54">SUM('Oct 24:Sept 25'!D29)</f>
        <v>#REF!</v>
      </c>
      <c r="E29" s="154" t="str">
        <f t="shared" si="54"/>
        <v>#REF!</v>
      </c>
      <c r="F29" s="31"/>
      <c r="G29" s="32"/>
      <c r="H29" s="31"/>
      <c r="I29" s="32"/>
      <c r="J29" s="31"/>
      <c r="K29" s="32"/>
      <c r="L29" s="31"/>
      <c r="M29" s="32"/>
      <c r="N29" s="31"/>
      <c r="O29" s="32"/>
      <c r="P29" s="31"/>
      <c r="Q29" s="32"/>
      <c r="R29" s="31"/>
      <c r="S29" s="32"/>
      <c r="T29" s="31"/>
      <c r="U29" s="32"/>
      <c r="V29" s="31"/>
      <c r="W29" s="32"/>
      <c r="X29" s="34"/>
      <c r="Y29" s="35"/>
      <c r="Z29" s="34"/>
      <c r="AA29" s="35"/>
      <c r="AB29" s="34"/>
      <c r="AC29" s="35"/>
      <c r="AD29" s="34"/>
      <c r="AE29" s="35"/>
      <c r="AF29" s="34"/>
      <c r="AG29" s="35"/>
      <c r="AH29" s="34"/>
      <c r="AI29" s="35"/>
      <c r="AJ29" s="34"/>
      <c r="AK29" s="35"/>
      <c r="AL29" s="34"/>
      <c r="AM29" s="35"/>
      <c r="AN29" s="34"/>
      <c r="AO29" s="35"/>
      <c r="AP29" s="34"/>
      <c r="AQ29" s="35"/>
      <c r="AR29" s="34"/>
      <c r="AS29" s="35"/>
      <c r="AT29" s="34"/>
      <c r="AU29" s="35"/>
      <c r="AV29" s="34"/>
      <c r="AW29" s="35"/>
      <c r="AX29" s="34"/>
      <c r="AY29" s="37"/>
      <c r="AZ29" s="100"/>
      <c r="BA29" s="39"/>
      <c r="BB29" s="100"/>
      <c r="BC29" s="39"/>
      <c r="BD29" s="100"/>
      <c r="BE29" s="39"/>
      <c r="BF29" s="100"/>
      <c r="BG29" s="39"/>
      <c r="BH29" s="100"/>
      <c r="BI29" s="39"/>
      <c r="BJ29" s="100"/>
      <c r="BK29" s="39"/>
      <c r="BL29" s="100"/>
      <c r="BM29" s="39"/>
      <c r="BN29" s="100"/>
      <c r="BO29" s="39"/>
      <c r="BP29" s="100"/>
      <c r="BQ29" s="39"/>
      <c r="BR29" s="40" t="str">
        <f t="shared" ref="BR29:BS29" si="55">SUM('Oct 24:Sept 25'!BR29)</f>
        <v>#REF!</v>
      </c>
      <c r="BS29" s="41" t="str">
        <f t="shared" si="55"/>
        <v>#REF!</v>
      </c>
      <c r="BT29" s="42"/>
      <c r="BU29" s="42"/>
      <c r="BV29" s="155" t="str">
        <f t="shared" si="5"/>
        <v>#REF!</v>
      </c>
      <c r="BW29" s="156" t="str">
        <f t="shared" si="6"/>
        <v>#REF!</v>
      </c>
      <c r="BX29" s="157" t="str">
        <f t="shared" si="7"/>
        <v>#REF!</v>
      </c>
    </row>
    <row r="30" ht="12.0" customHeight="1">
      <c r="A30" s="101"/>
      <c r="B30" s="29"/>
      <c r="C30" s="30"/>
      <c r="D30" s="33" t="str">
        <f t="shared" ref="D30:E30" si="56">SUM('Oct 24:Sept 25'!D30)</f>
        <v>#REF!</v>
      </c>
      <c r="E30" s="154" t="str">
        <f t="shared" si="56"/>
        <v>#REF!</v>
      </c>
      <c r="F30" s="31"/>
      <c r="G30" s="32"/>
      <c r="H30" s="31"/>
      <c r="I30" s="32"/>
      <c r="J30" s="31"/>
      <c r="K30" s="32"/>
      <c r="L30" s="31"/>
      <c r="M30" s="32"/>
      <c r="N30" s="31"/>
      <c r="O30" s="32"/>
      <c r="P30" s="31"/>
      <c r="Q30" s="32"/>
      <c r="R30" s="31"/>
      <c r="S30" s="32"/>
      <c r="T30" s="31"/>
      <c r="U30" s="32"/>
      <c r="V30" s="31"/>
      <c r="W30" s="32"/>
      <c r="X30" s="34"/>
      <c r="Y30" s="35"/>
      <c r="Z30" s="34"/>
      <c r="AA30" s="35"/>
      <c r="AB30" s="34"/>
      <c r="AC30" s="35"/>
      <c r="AD30" s="34"/>
      <c r="AE30" s="35"/>
      <c r="AF30" s="34"/>
      <c r="AG30" s="35"/>
      <c r="AH30" s="34"/>
      <c r="AI30" s="35"/>
      <c r="AJ30" s="34"/>
      <c r="AK30" s="35"/>
      <c r="AL30" s="34"/>
      <c r="AM30" s="35"/>
      <c r="AN30" s="34"/>
      <c r="AO30" s="35"/>
      <c r="AP30" s="34"/>
      <c r="AQ30" s="35"/>
      <c r="AR30" s="34"/>
      <c r="AS30" s="35"/>
      <c r="AT30" s="34"/>
      <c r="AU30" s="35"/>
      <c r="AV30" s="34"/>
      <c r="AW30" s="35"/>
      <c r="AX30" s="34"/>
      <c r="AY30" s="37"/>
      <c r="AZ30" s="100"/>
      <c r="BA30" s="39"/>
      <c r="BB30" s="100"/>
      <c r="BC30" s="39"/>
      <c r="BD30" s="100"/>
      <c r="BE30" s="39"/>
      <c r="BF30" s="100"/>
      <c r="BG30" s="39"/>
      <c r="BH30" s="100"/>
      <c r="BI30" s="39"/>
      <c r="BJ30" s="100"/>
      <c r="BK30" s="39"/>
      <c r="BL30" s="100"/>
      <c r="BM30" s="39"/>
      <c r="BN30" s="100"/>
      <c r="BO30" s="39"/>
      <c r="BP30" s="100"/>
      <c r="BQ30" s="39"/>
      <c r="BR30" s="40" t="str">
        <f t="shared" ref="BR30:BS30" si="57">SUM('Oct 24:Sept 25'!BR30)</f>
        <v>#REF!</v>
      </c>
      <c r="BS30" s="41" t="str">
        <f t="shared" si="57"/>
        <v>#REF!</v>
      </c>
      <c r="BT30" s="42"/>
      <c r="BU30" s="42"/>
      <c r="BV30" s="155" t="str">
        <f t="shared" si="5"/>
        <v>#REF!</v>
      </c>
      <c r="BW30" s="156" t="str">
        <f t="shared" si="6"/>
        <v>#REF!</v>
      </c>
      <c r="BX30" s="157" t="str">
        <f t="shared" si="7"/>
        <v>#REF!</v>
      </c>
    </row>
    <row r="31" ht="12.0" customHeight="1">
      <c r="A31" s="101"/>
      <c r="B31" s="29"/>
      <c r="C31" s="30"/>
      <c r="D31" s="33" t="str">
        <f t="shared" ref="D31:E31" si="58">SUM('Oct 24:Sept 25'!D31)</f>
        <v>#REF!</v>
      </c>
      <c r="E31" s="154" t="str">
        <f t="shared" si="58"/>
        <v>#REF!</v>
      </c>
      <c r="F31" s="31"/>
      <c r="G31" s="32"/>
      <c r="H31" s="31"/>
      <c r="I31" s="32"/>
      <c r="J31" s="31"/>
      <c r="K31" s="32"/>
      <c r="L31" s="31"/>
      <c r="M31" s="32"/>
      <c r="N31" s="31"/>
      <c r="O31" s="32"/>
      <c r="P31" s="31"/>
      <c r="Q31" s="32"/>
      <c r="R31" s="31"/>
      <c r="S31" s="32"/>
      <c r="T31" s="31"/>
      <c r="U31" s="32"/>
      <c r="V31" s="31"/>
      <c r="W31" s="32"/>
      <c r="X31" s="34"/>
      <c r="Y31" s="35"/>
      <c r="Z31" s="34"/>
      <c r="AA31" s="35"/>
      <c r="AB31" s="34"/>
      <c r="AC31" s="35"/>
      <c r="AD31" s="34"/>
      <c r="AE31" s="35"/>
      <c r="AF31" s="34"/>
      <c r="AG31" s="35"/>
      <c r="AH31" s="34"/>
      <c r="AI31" s="35"/>
      <c r="AJ31" s="34"/>
      <c r="AK31" s="35"/>
      <c r="AL31" s="34"/>
      <c r="AM31" s="35"/>
      <c r="AN31" s="34"/>
      <c r="AO31" s="35"/>
      <c r="AP31" s="34"/>
      <c r="AQ31" s="35"/>
      <c r="AR31" s="34"/>
      <c r="AS31" s="35"/>
      <c r="AT31" s="34"/>
      <c r="AU31" s="35"/>
      <c r="AV31" s="34"/>
      <c r="AW31" s="35"/>
      <c r="AX31" s="34"/>
      <c r="AY31" s="37"/>
      <c r="AZ31" s="100"/>
      <c r="BA31" s="39"/>
      <c r="BB31" s="100"/>
      <c r="BC31" s="39"/>
      <c r="BD31" s="100"/>
      <c r="BE31" s="39"/>
      <c r="BF31" s="100"/>
      <c r="BG31" s="39"/>
      <c r="BH31" s="100"/>
      <c r="BI31" s="39"/>
      <c r="BJ31" s="100"/>
      <c r="BK31" s="39"/>
      <c r="BL31" s="100"/>
      <c r="BM31" s="39"/>
      <c r="BN31" s="100"/>
      <c r="BO31" s="39"/>
      <c r="BP31" s="100"/>
      <c r="BQ31" s="39"/>
      <c r="BR31" s="40" t="str">
        <f t="shared" ref="BR31:BS31" si="59">SUM('Oct 24:Sept 25'!BR31)</f>
        <v>#REF!</v>
      </c>
      <c r="BS31" s="41" t="str">
        <f t="shared" si="59"/>
        <v>#REF!</v>
      </c>
      <c r="BT31" s="42"/>
      <c r="BU31" s="42"/>
      <c r="BV31" s="155" t="str">
        <f t="shared" si="5"/>
        <v>#REF!</v>
      </c>
      <c r="BW31" s="156" t="str">
        <f t="shared" si="6"/>
        <v>#REF!</v>
      </c>
      <c r="BX31" s="157" t="str">
        <f t="shared" si="7"/>
        <v>#REF!</v>
      </c>
    </row>
    <row r="32" ht="12.0" customHeight="1">
      <c r="A32" s="101"/>
      <c r="B32" s="29"/>
      <c r="C32" s="30"/>
      <c r="D32" s="33" t="str">
        <f t="shared" ref="D32:E32" si="60">SUM('Oct 24:Sept 25'!D32)</f>
        <v>#REF!</v>
      </c>
      <c r="E32" s="154" t="str">
        <f t="shared" si="60"/>
        <v>#REF!</v>
      </c>
      <c r="F32" s="31"/>
      <c r="G32" s="32"/>
      <c r="H32" s="31"/>
      <c r="I32" s="32"/>
      <c r="J32" s="31"/>
      <c r="K32" s="32"/>
      <c r="L32" s="31"/>
      <c r="M32" s="32"/>
      <c r="N32" s="31"/>
      <c r="O32" s="32"/>
      <c r="P32" s="31"/>
      <c r="Q32" s="32"/>
      <c r="R32" s="31"/>
      <c r="S32" s="32"/>
      <c r="T32" s="31"/>
      <c r="U32" s="32"/>
      <c r="V32" s="31"/>
      <c r="W32" s="32"/>
      <c r="X32" s="34"/>
      <c r="Y32" s="35"/>
      <c r="Z32" s="34"/>
      <c r="AA32" s="35"/>
      <c r="AB32" s="34"/>
      <c r="AC32" s="35"/>
      <c r="AD32" s="34"/>
      <c r="AE32" s="35"/>
      <c r="AF32" s="34"/>
      <c r="AG32" s="35"/>
      <c r="AH32" s="34"/>
      <c r="AI32" s="35"/>
      <c r="AJ32" s="34"/>
      <c r="AK32" s="35"/>
      <c r="AL32" s="34"/>
      <c r="AM32" s="35"/>
      <c r="AN32" s="34"/>
      <c r="AO32" s="35"/>
      <c r="AP32" s="34"/>
      <c r="AQ32" s="35"/>
      <c r="AR32" s="34"/>
      <c r="AS32" s="35"/>
      <c r="AT32" s="34"/>
      <c r="AU32" s="35"/>
      <c r="AV32" s="34"/>
      <c r="AW32" s="35"/>
      <c r="AX32" s="34"/>
      <c r="AY32" s="37"/>
      <c r="AZ32" s="100"/>
      <c r="BA32" s="39"/>
      <c r="BB32" s="100"/>
      <c r="BC32" s="39"/>
      <c r="BD32" s="100"/>
      <c r="BE32" s="39"/>
      <c r="BF32" s="100"/>
      <c r="BG32" s="39"/>
      <c r="BH32" s="100"/>
      <c r="BI32" s="39"/>
      <c r="BJ32" s="100"/>
      <c r="BK32" s="39"/>
      <c r="BL32" s="100"/>
      <c r="BM32" s="39"/>
      <c r="BN32" s="100"/>
      <c r="BO32" s="39"/>
      <c r="BP32" s="100"/>
      <c r="BQ32" s="39"/>
      <c r="BR32" s="40" t="str">
        <f t="shared" ref="BR32:BS32" si="61">SUM('Oct 24:Sept 25'!BR32)</f>
        <v>#REF!</v>
      </c>
      <c r="BS32" s="41" t="str">
        <f t="shared" si="61"/>
        <v>#REF!</v>
      </c>
      <c r="BT32" s="42"/>
      <c r="BU32" s="42"/>
      <c r="BV32" s="155" t="str">
        <f t="shared" si="5"/>
        <v>#REF!</v>
      </c>
      <c r="BW32" s="156" t="str">
        <f t="shared" si="6"/>
        <v>#REF!</v>
      </c>
      <c r="BX32" s="157" t="str">
        <f t="shared" si="7"/>
        <v>#REF!</v>
      </c>
    </row>
    <row r="33" ht="12.0" customHeight="1">
      <c r="A33" s="101"/>
      <c r="B33" s="29"/>
      <c r="C33" s="30"/>
      <c r="D33" s="33" t="str">
        <f t="shared" ref="D33:E33" si="62">SUM('Oct 24:Sept 25'!D33)</f>
        <v>#REF!</v>
      </c>
      <c r="E33" s="154" t="str">
        <f t="shared" si="62"/>
        <v>#REF!</v>
      </c>
      <c r="F33" s="31"/>
      <c r="G33" s="32"/>
      <c r="H33" s="31"/>
      <c r="I33" s="32"/>
      <c r="J33" s="31"/>
      <c r="K33" s="32"/>
      <c r="L33" s="31"/>
      <c r="M33" s="32"/>
      <c r="N33" s="31"/>
      <c r="O33" s="32"/>
      <c r="P33" s="31"/>
      <c r="Q33" s="32"/>
      <c r="R33" s="31"/>
      <c r="S33" s="32"/>
      <c r="T33" s="31"/>
      <c r="U33" s="32"/>
      <c r="V33" s="31"/>
      <c r="W33" s="32"/>
      <c r="X33" s="34"/>
      <c r="Y33" s="35"/>
      <c r="Z33" s="34"/>
      <c r="AA33" s="35"/>
      <c r="AB33" s="34"/>
      <c r="AC33" s="35"/>
      <c r="AD33" s="34"/>
      <c r="AE33" s="35"/>
      <c r="AF33" s="34"/>
      <c r="AG33" s="35"/>
      <c r="AH33" s="34"/>
      <c r="AI33" s="35"/>
      <c r="AJ33" s="34"/>
      <c r="AK33" s="35"/>
      <c r="AL33" s="34"/>
      <c r="AM33" s="35"/>
      <c r="AN33" s="34"/>
      <c r="AO33" s="35"/>
      <c r="AP33" s="34"/>
      <c r="AQ33" s="35"/>
      <c r="AR33" s="34"/>
      <c r="AS33" s="35"/>
      <c r="AT33" s="34"/>
      <c r="AU33" s="35"/>
      <c r="AV33" s="34"/>
      <c r="AW33" s="35"/>
      <c r="AX33" s="34"/>
      <c r="AY33" s="37"/>
      <c r="AZ33" s="100"/>
      <c r="BA33" s="39"/>
      <c r="BB33" s="100"/>
      <c r="BC33" s="39"/>
      <c r="BD33" s="100"/>
      <c r="BE33" s="39"/>
      <c r="BF33" s="100"/>
      <c r="BG33" s="39"/>
      <c r="BH33" s="100"/>
      <c r="BI33" s="39"/>
      <c r="BJ33" s="100"/>
      <c r="BK33" s="39"/>
      <c r="BL33" s="100"/>
      <c r="BM33" s="39"/>
      <c r="BN33" s="100"/>
      <c r="BO33" s="39"/>
      <c r="BP33" s="100"/>
      <c r="BQ33" s="39"/>
      <c r="BR33" s="40" t="str">
        <f t="shared" ref="BR33:BS33" si="63">SUM('Oct 24:Sept 25'!BR33)</f>
        <v>#REF!</v>
      </c>
      <c r="BS33" s="41" t="str">
        <f t="shared" si="63"/>
        <v>#REF!</v>
      </c>
      <c r="BT33" s="42"/>
      <c r="BU33" s="42"/>
      <c r="BV33" s="155" t="str">
        <f t="shared" si="5"/>
        <v>#REF!</v>
      </c>
      <c r="BW33" s="156" t="str">
        <f t="shared" si="6"/>
        <v>#REF!</v>
      </c>
      <c r="BX33" s="157" t="str">
        <f t="shared" si="7"/>
        <v>#REF!</v>
      </c>
    </row>
    <row r="34" ht="12.0" customHeight="1">
      <c r="A34" s="101"/>
      <c r="B34" s="29"/>
      <c r="C34" s="30"/>
      <c r="D34" s="33" t="str">
        <f t="shared" ref="D34:E34" si="64">SUM('Oct 24:Sept 25'!D34)</f>
        <v>#REF!</v>
      </c>
      <c r="E34" s="154" t="str">
        <f t="shared" si="64"/>
        <v>#REF!</v>
      </c>
      <c r="F34" s="31"/>
      <c r="G34" s="32"/>
      <c r="H34" s="31"/>
      <c r="I34" s="32"/>
      <c r="J34" s="31"/>
      <c r="K34" s="32"/>
      <c r="L34" s="31"/>
      <c r="M34" s="32"/>
      <c r="N34" s="31"/>
      <c r="O34" s="32"/>
      <c r="P34" s="31"/>
      <c r="Q34" s="32"/>
      <c r="R34" s="31"/>
      <c r="S34" s="32"/>
      <c r="T34" s="31"/>
      <c r="U34" s="32"/>
      <c r="V34" s="31"/>
      <c r="W34" s="32"/>
      <c r="X34" s="34"/>
      <c r="Y34" s="35"/>
      <c r="Z34" s="34"/>
      <c r="AA34" s="35"/>
      <c r="AB34" s="34"/>
      <c r="AC34" s="35"/>
      <c r="AD34" s="34"/>
      <c r="AE34" s="35"/>
      <c r="AF34" s="34"/>
      <c r="AG34" s="35"/>
      <c r="AH34" s="34"/>
      <c r="AI34" s="35"/>
      <c r="AJ34" s="34"/>
      <c r="AK34" s="35"/>
      <c r="AL34" s="34"/>
      <c r="AM34" s="35"/>
      <c r="AN34" s="34"/>
      <c r="AO34" s="35"/>
      <c r="AP34" s="34"/>
      <c r="AQ34" s="35"/>
      <c r="AR34" s="34"/>
      <c r="AS34" s="35"/>
      <c r="AT34" s="34"/>
      <c r="AU34" s="35"/>
      <c r="AV34" s="34"/>
      <c r="AW34" s="35"/>
      <c r="AX34" s="34"/>
      <c r="AY34" s="37"/>
      <c r="AZ34" s="100"/>
      <c r="BA34" s="39"/>
      <c r="BB34" s="100"/>
      <c r="BC34" s="39"/>
      <c r="BD34" s="100"/>
      <c r="BE34" s="39"/>
      <c r="BF34" s="100"/>
      <c r="BG34" s="39"/>
      <c r="BH34" s="100"/>
      <c r="BI34" s="39"/>
      <c r="BJ34" s="100"/>
      <c r="BK34" s="39"/>
      <c r="BL34" s="100"/>
      <c r="BM34" s="39"/>
      <c r="BN34" s="100"/>
      <c r="BO34" s="39"/>
      <c r="BP34" s="100"/>
      <c r="BQ34" s="39"/>
      <c r="BR34" s="40" t="str">
        <f t="shared" ref="BR34:BS34" si="65">SUM('Oct 24:Sept 25'!BR34)</f>
        <v>#REF!</v>
      </c>
      <c r="BS34" s="41" t="str">
        <f t="shared" si="65"/>
        <v>#REF!</v>
      </c>
      <c r="BT34" s="42"/>
      <c r="BU34" s="42"/>
      <c r="BV34" s="155" t="str">
        <f t="shared" si="5"/>
        <v>#REF!</v>
      </c>
      <c r="BW34" s="156" t="str">
        <f t="shared" si="6"/>
        <v>#REF!</v>
      </c>
      <c r="BX34" s="157" t="str">
        <f t="shared" si="7"/>
        <v>#REF!</v>
      </c>
    </row>
    <row r="35" ht="12.0" customHeight="1">
      <c r="A35" s="101"/>
      <c r="B35" s="29"/>
      <c r="C35" s="30"/>
      <c r="D35" s="33" t="str">
        <f t="shared" ref="D35:E35" si="66">SUM('Oct 24:Sept 25'!D35)</f>
        <v>#REF!</v>
      </c>
      <c r="E35" s="154" t="str">
        <f t="shared" si="66"/>
        <v>#REF!</v>
      </c>
      <c r="F35" s="31"/>
      <c r="G35" s="32"/>
      <c r="H35" s="31"/>
      <c r="I35" s="32"/>
      <c r="J35" s="31"/>
      <c r="K35" s="32"/>
      <c r="L35" s="31"/>
      <c r="M35" s="32"/>
      <c r="N35" s="31"/>
      <c r="O35" s="32"/>
      <c r="P35" s="31"/>
      <c r="Q35" s="32"/>
      <c r="R35" s="31"/>
      <c r="S35" s="32"/>
      <c r="T35" s="31"/>
      <c r="U35" s="32"/>
      <c r="V35" s="31"/>
      <c r="W35" s="32"/>
      <c r="X35" s="34"/>
      <c r="Y35" s="35"/>
      <c r="Z35" s="34"/>
      <c r="AA35" s="35"/>
      <c r="AB35" s="34"/>
      <c r="AC35" s="35"/>
      <c r="AD35" s="34"/>
      <c r="AE35" s="35"/>
      <c r="AF35" s="34"/>
      <c r="AG35" s="35"/>
      <c r="AH35" s="34"/>
      <c r="AI35" s="35"/>
      <c r="AJ35" s="34"/>
      <c r="AK35" s="35"/>
      <c r="AL35" s="34"/>
      <c r="AM35" s="35"/>
      <c r="AN35" s="34"/>
      <c r="AO35" s="35"/>
      <c r="AP35" s="34"/>
      <c r="AQ35" s="35"/>
      <c r="AR35" s="34"/>
      <c r="AS35" s="35"/>
      <c r="AT35" s="34"/>
      <c r="AU35" s="35"/>
      <c r="AV35" s="34"/>
      <c r="AW35" s="35"/>
      <c r="AX35" s="34"/>
      <c r="AY35" s="37"/>
      <c r="AZ35" s="100"/>
      <c r="BA35" s="39"/>
      <c r="BB35" s="100"/>
      <c r="BC35" s="39"/>
      <c r="BD35" s="100"/>
      <c r="BE35" s="39"/>
      <c r="BF35" s="100"/>
      <c r="BG35" s="39"/>
      <c r="BH35" s="100"/>
      <c r="BI35" s="39"/>
      <c r="BJ35" s="100"/>
      <c r="BK35" s="39"/>
      <c r="BL35" s="100"/>
      <c r="BM35" s="39"/>
      <c r="BN35" s="100"/>
      <c r="BO35" s="39"/>
      <c r="BP35" s="100"/>
      <c r="BQ35" s="39"/>
      <c r="BR35" s="40" t="str">
        <f t="shared" ref="BR35:BS35" si="67">SUM('Oct 24:Sept 25'!BR35)</f>
        <v>#REF!</v>
      </c>
      <c r="BS35" s="41" t="str">
        <f t="shared" si="67"/>
        <v>#REF!</v>
      </c>
      <c r="BT35" s="42"/>
      <c r="BU35" s="42"/>
      <c r="BV35" s="155" t="str">
        <f t="shared" si="5"/>
        <v>#REF!</v>
      </c>
      <c r="BW35" s="156" t="str">
        <f t="shared" si="6"/>
        <v>#REF!</v>
      </c>
      <c r="BX35" s="157" t="str">
        <f t="shared" si="7"/>
        <v>#REF!</v>
      </c>
    </row>
    <row r="36" ht="12.0" customHeight="1">
      <c r="A36" s="101"/>
      <c r="B36" s="29"/>
      <c r="C36" s="30"/>
      <c r="D36" s="33" t="str">
        <f t="shared" ref="D36:E36" si="68">SUM('Oct 24:Sept 25'!D36)</f>
        <v>#REF!</v>
      </c>
      <c r="E36" s="154" t="str">
        <f t="shared" si="68"/>
        <v>#REF!</v>
      </c>
      <c r="F36" s="31"/>
      <c r="G36" s="32"/>
      <c r="H36" s="31"/>
      <c r="I36" s="32"/>
      <c r="J36" s="31"/>
      <c r="K36" s="32"/>
      <c r="L36" s="31"/>
      <c r="M36" s="32"/>
      <c r="N36" s="31"/>
      <c r="O36" s="32"/>
      <c r="P36" s="31"/>
      <c r="Q36" s="32"/>
      <c r="R36" s="31"/>
      <c r="S36" s="32"/>
      <c r="T36" s="31"/>
      <c r="U36" s="32"/>
      <c r="V36" s="31"/>
      <c r="W36" s="32"/>
      <c r="X36" s="34"/>
      <c r="Y36" s="35"/>
      <c r="Z36" s="34"/>
      <c r="AA36" s="35"/>
      <c r="AB36" s="34"/>
      <c r="AC36" s="35"/>
      <c r="AD36" s="34"/>
      <c r="AE36" s="35"/>
      <c r="AF36" s="34"/>
      <c r="AG36" s="35"/>
      <c r="AH36" s="34"/>
      <c r="AI36" s="35"/>
      <c r="AJ36" s="34"/>
      <c r="AK36" s="35"/>
      <c r="AL36" s="34"/>
      <c r="AM36" s="35"/>
      <c r="AN36" s="34"/>
      <c r="AO36" s="35"/>
      <c r="AP36" s="34"/>
      <c r="AQ36" s="35"/>
      <c r="AR36" s="34"/>
      <c r="AS36" s="35"/>
      <c r="AT36" s="34"/>
      <c r="AU36" s="35"/>
      <c r="AV36" s="34"/>
      <c r="AW36" s="35"/>
      <c r="AX36" s="34"/>
      <c r="AY36" s="37"/>
      <c r="AZ36" s="100"/>
      <c r="BA36" s="39"/>
      <c r="BB36" s="100"/>
      <c r="BC36" s="39"/>
      <c r="BD36" s="100"/>
      <c r="BE36" s="39"/>
      <c r="BF36" s="100"/>
      <c r="BG36" s="39"/>
      <c r="BH36" s="100"/>
      <c r="BI36" s="39"/>
      <c r="BJ36" s="100"/>
      <c r="BK36" s="39"/>
      <c r="BL36" s="100"/>
      <c r="BM36" s="39"/>
      <c r="BN36" s="100"/>
      <c r="BO36" s="39"/>
      <c r="BP36" s="100"/>
      <c r="BQ36" s="39"/>
      <c r="BR36" s="40" t="str">
        <f t="shared" ref="BR36:BS36" si="69">SUM('Oct 24:Sept 25'!BR36)</f>
        <v>#REF!</v>
      </c>
      <c r="BS36" s="41" t="str">
        <f t="shared" si="69"/>
        <v>#REF!</v>
      </c>
      <c r="BT36" s="42"/>
      <c r="BU36" s="42"/>
      <c r="BV36" s="155" t="str">
        <f t="shared" si="5"/>
        <v>#REF!</v>
      </c>
      <c r="BW36" s="156" t="str">
        <f t="shared" si="6"/>
        <v>#REF!</v>
      </c>
      <c r="BX36" s="157" t="str">
        <f t="shared" si="7"/>
        <v>#REF!</v>
      </c>
    </row>
    <row r="37" ht="12.0" customHeight="1">
      <c r="A37" s="101"/>
      <c r="B37" s="29"/>
      <c r="C37" s="30"/>
      <c r="D37" s="33" t="str">
        <f t="shared" ref="D37:E37" si="70">SUM('Oct 24:Sept 25'!D37)</f>
        <v>#REF!</v>
      </c>
      <c r="E37" s="154" t="str">
        <f t="shared" si="70"/>
        <v>#REF!</v>
      </c>
      <c r="F37" s="31"/>
      <c r="G37" s="32"/>
      <c r="H37" s="31"/>
      <c r="I37" s="32"/>
      <c r="J37" s="31"/>
      <c r="K37" s="32"/>
      <c r="L37" s="31"/>
      <c r="M37" s="32"/>
      <c r="N37" s="31"/>
      <c r="O37" s="32"/>
      <c r="P37" s="31"/>
      <c r="Q37" s="32"/>
      <c r="R37" s="31"/>
      <c r="S37" s="32"/>
      <c r="T37" s="31"/>
      <c r="U37" s="32"/>
      <c r="V37" s="31"/>
      <c r="W37" s="32"/>
      <c r="X37" s="34"/>
      <c r="Y37" s="35"/>
      <c r="Z37" s="34"/>
      <c r="AA37" s="35"/>
      <c r="AB37" s="34"/>
      <c r="AC37" s="35"/>
      <c r="AD37" s="34"/>
      <c r="AE37" s="35"/>
      <c r="AF37" s="34"/>
      <c r="AG37" s="35"/>
      <c r="AH37" s="34"/>
      <c r="AI37" s="35"/>
      <c r="AJ37" s="34"/>
      <c r="AK37" s="35"/>
      <c r="AL37" s="34"/>
      <c r="AM37" s="35"/>
      <c r="AN37" s="34"/>
      <c r="AO37" s="35"/>
      <c r="AP37" s="34"/>
      <c r="AQ37" s="35"/>
      <c r="AR37" s="34"/>
      <c r="AS37" s="35"/>
      <c r="AT37" s="34"/>
      <c r="AU37" s="35"/>
      <c r="AV37" s="34"/>
      <c r="AW37" s="35"/>
      <c r="AX37" s="34"/>
      <c r="AY37" s="37"/>
      <c r="AZ37" s="100"/>
      <c r="BA37" s="39"/>
      <c r="BB37" s="100"/>
      <c r="BC37" s="39"/>
      <c r="BD37" s="100"/>
      <c r="BE37" s="39"/>
      <c r="BF37" s="100"/>
      <c r="BG37" s="39"/>
      <c r="BH37" s="100"/>
      <c r="BI37" s="39"/>
      <c r="BJ37" s="100"/>
      <c r="BK37" s="39"/>
      <c r="BL37" s="100"/>
      <c r="BM37" s="39"/>
      <c r="BN37" s="100"/>
      <c r="BO37" s="39"/>
      <c r="BP37" s="100"/>
      <c r="BQ37" s="39"/>
      <c r="BR37" s="40" t="str">
        <f t="shared" ref="BR37:BS37" si="71">SUM('Oct 24:Sept 25'!BR37)</f>
        <v>#REF!</v>
      </c>
      <c r="BS37" s="41" t="str">
        <f t="shared" si="71"/>
        <v>#REF!</v>
      </c>
      <c r="BT37" s="42"/>
      <c r="BU37" s="42"/>
      <c r="BV37" s="155" t="str">
        <f t="shared" si="5"/>
        <v>#REF!</v>
      </c>
      <c r="BW37" s="156" t="str">
        <f t="shared" si="6"/>
        <v>#REF!</v>
      </c>
      <c r="BX37" s="157" t="str">
        <f t="shared" si="7"/>
        <v>#REF!</v>
      </c>
    </row>
    <row r="38" ht="12.0" customHeight="1">
      <c r="A38" s="101"/>
      <c r="B38" s="29"/>
      <c r="C38" s="30"/>
      <c r="D38" s="33" t="str">
        <f t="shared" ref="D38:E38" si="72">SUM('Oct 24:Sept 25'!D38)</f>
        <v>#REF!</v>
      </c>
      <c r="E38" s="154" t="str">
        <f t="shared" si="72"/>
        <v>#REF!</v>
      </c>
      <c r="F38" s="31"/>
      <c r="G38" s="32"/>
      <c r="H38" s="31"/>
      <c r="I38" s="32"/>
      <c r="J38" s="31"/>
      <c r="K38" s="32"/>
      <c r="L38" s="31"/>
      <c r="M38" s="32"/>
      <c r="N38" s="31"/>
      <c r="O38" s="32"/>
      <c r="P38" s="31"/>
      <c r="Q38" s="32"/>
      <c r="R38" s="31"/>
      <c r="S38" s="32"/>
      <c r="T38" s="31"/>
      <c r="U38" s="32"/>
      <c r="V38" s="31"/>
      <c r="W38" s="32"/>
      <c r="X38" s="34"/>
      <c r="Y38" s="35"/>
      <c r="Z38" s="34"/>
      <c r="AA38" s="35"/>
      <c r="AB38" s="34"/>
      <c r="AC38" s="35"/>
      <c r="AD38" s="34"/>
      <c r="AE38" s="35"/>
      <c r="AF38" s="34"/>
      <c r="AG38" s="35"/>
      <c r="AH38" s="34"/>
      <c r="AI38" s="35"/>
      <c r="AJ38" s="34"/>
      <c r="AK38" s="35"/>
      <c r="AL38" s="34"/>
      <c r="AM38" s="35"/>
      <c r="AN38" s="34"/>
      <c r="AO38" s="35"/>
      <c r="AP38" s="34"/>
      <c r="AQ38" s="35"/>
      <c r="AR38" s="34"/>
      <c r="AS38" s="35"/>
      <c r="AT38" s="34"/>
      <c r="AU38" s="35"/>
      <c r="AV38" s="34"/>
      <c r="AW38" s="35"/>
      <c r="AX38" s="34"/>
      <c r="AY38" s="37"/>
      <c r="AZ38" s="100"/>
      <c r="BA38" s="39"/>
      <c r="BB38" s="100"/>
      <c r="BC38" s="39"/>
      <c r="BD38" s="100"/>
      <c r="BE38" s="39"/>
      <c r="BF38" s="100"/>
      <c r="BG38" s="39"/>
      <c r="BH38" s="100"/>
      <c r="BI38" s="39"/>
      <c r="BJ38" s="100"/>
      <c r="BK38" s="39"/>
      <c r="BL38" s="100"/>
      <c r="BM38" s="39"/>
      <c r="BN38" s="100"/>
      <c r="BO38" s="39"/>
      <c r="BP38" s="100"/>
      <c r="BQ38" s="39"/>
      <c r="BR38" s="40" t="str">
        <f t="shared" ref="BR38:BS38" si="73">SUM('Oct 24:Sept 25'!BR38)</f>
        <v>#REF!</v>
      </c>
      <c r="BS38" s="41" t="str">
        <f t="shared" si="73"/>
        <v>#REF!</v>
      </c>
      <c r="BT38" s="42"/>
      <c r="BU38" s="42"/>
      <c r="BV38" s="155" t="str">
        <f t="shared" si="5"/>
        <v>#REF!</v>
      </c>
      <c r="BW38" s="156" t="str">
        <f t="shared" si="6"/>
        <v>#REF!</v>
      </c>
      <c r="BX38" s="157" t="str">
        <f t="shared" si="7"/>
        <v>#REF!</v>
      </c>
    </row>
    <row r="39" ht="12.0" customHeight="1">
      <c r="A39" s="101"/>
      <c r="B39" s="29"/>
      <c r="C39" s="30"/>
      <c r="D39" s="33" t="str">
        <f t="shared" ref="D39:E39" si="74">SUM('Oct 24:Sept 25'!D39)</f>
        <v>#REF!</v>
      </c>
      <c r="E39" s="154" t="str">
        <f t="shared" si="74"/>
        <v>#REF!</v>
      </c>
      <c r="F39" s="31"/>
      <c r="G39" s="32"/>
      <c r="H39" s="31"/>
      <c r="I39" s="32"/>
      <c r="J39" s="31"/>
      <c r="K39" s="32"/>
      <c r="L39" s="31"/>
      <c r="M39" s="32"/>
      <c r="N39" s="31"/>
      <c r="O39" s="32"/>
      <c r="P39" s="31"/>
      <c r="Q39" s="32"/>
      <c r="R39" s="31"/>
      <c r="S39" s="32"/>
      <c r="T39" s="31"/>
      <c r="U39" s="32"/>
      <c r="V39" s="31"/>
      <c r="W39" s="32"/>
      <c r="X39" s="34"/>
      <c r="Y39" s="35"/>
      <c r="Z39" s="34"/>
      <c r="AA39" s="35"/>
      <c r="AB39" s="34"/>
      <c r="AC39" s="35"/>
      <c r="AD39" s="34"/>
      <c r="AE39" s="35"/>
      <c r="AF39" s="34"/>
      <c r="AG39" s="35"/>
      <c r="AH39" s="34"/>
      <c r="AI39" s="35"/>
      <c r="AJ39" s="34"/>
      <c r="AK39" s="35"/>
      <c r="AL39" s="34"/>
      <c r="AM39" s="35"/>
      <c r="AN39" s="34"/>
      <c r="AO39" s="35"/>
      <c r="AP39" s="34"/>
      <c r="AQ39" s="35"/>
      <c r="AR39" s="34"/>
      <c r="AS39" s="35"/>
      <c r="AT39" s="34"/>
      <c r="AU39" s="35"/>
      <c r="AV39" s="34"/>
      <c r="AW39" s="35"/>
      <c r="AX39" s="34"/>
      <c r="AY39" s="37"/>
      <c r="AZ39" s="100"/>
      <c r="BA39" s="39"/>
      <c r="BB39" s="100"/>
      <c r="BC39" s="39"/>
      <c r="BD39" s="100"/>
      <c r="BE39" s="39"/>
      <c r="BF39" s="100"/>
      <c r="BG39" s="39"/>
      <c r="BH39" s="100"/>
      <c r="BI39" s="39"/>
      <c r="BJ39" s="100"/>
      <c r="BK39" s="39"/>
      <c r="BL39" s="100"/>
      <c r="BM39" s="39"/>
      <c r="BN39" s="100"/>
      <c r="BO39" s="39"/>
      <c r="BP39" s="100"/>
      <c r="BQ39" s="39"/>
      <c r="BR39" s="40" t="str">
        <f t="shared" ref="BR39:BS39" si="75">SUM('Oct 24:Sept 25'!BR39)</f>
        <v>#REF!</v>
      </c>
      <c r="BS39" s="41" t="str">
        <f t="shared" si="75"/>
        <v>#REF!</v>
      </c>
      <c r="BT39" s="42"/>
      <c r="BU39" s="42"/>
      <c r="BV39" s="155" t="str">
        <f t="shared" si="5"/>
        <v>#REF!</v>
      </c>
      <c r="BW39" s="156" t="str">
        <f t="shared" si="6"/>
        <v>#REF!</v>
      </c>
      <c r="BX39" s="157" t="str">
        <f t="shared" si="7"/>
        <v>#REF!</v>
      </c>
    </row>
    <row r="40" ht="12.0" customHeight="1">
      <c r="A40" s="101"/>
      <c r="B40" s="29"/>
      <c r="C40" s="30"/>
      <c r="D40" s="33" t="str">
        <f t="shared" ref="D40:E40" si="76">SUM('Oct 24:Sept 25'!D40)</f>
        <v>#REF!</v>
      </c>
      <c r="E40" s="154" t="str">
        <f t="shared" si="76"/>
        <v>#REF!</v>
      </c>
      <c r="F40" s="31"/>
      <c r="G40" s="32"/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32"/>
      <c r="T40" s="31"/>
      <c r="U40" s="32"/>
      <c r="V40" s="31"/>
      <c r="W40" s="32"/>
      <c r="X40" s="34"/>
      <c r="Y40" s="35"/>
      <c r="Z40" s="34"/>
      <c r="AA40" s="35"/>
      <c r="AB40" s="34"/>
      <c r="AC40" s="35"/>
      <c r="AD40" s="34"/>
      <c r="AE40" s="35"/>
      <c r="AF40" s="34"/>
      <c r="AG40" s="35"/>
      <c r="AH40" s="34"/>
      <c r="AI40" s="35"/>
      <c r="AJ40" s="34"/>
      <c r="AK40" s="35"/>
      <c r="AL40" s="34"/>
      <c r="AM40" s="35"/>
      <c r="AN40" s="34"/>
      <c r="AO40" s="35"/>
      <c r="AP40" s="34"/>
      <c r="AQ40" s="35"/>
      <c r="AR40" s="34"/>
      <c r="AS40" s="35"/>
      <c r="AT40" s="34"/>
      <c r="AU40" s="35"/>
      <c r="AV40" s="34"/>
      <c r="AW40" s="35"/>
      <c r="AX40" s="34"/>
      <c r="AY40" s="37"/>
      <c r="AZ40" s="100"/>
      <c r="BA40" s="39"/>
      <c r="BB40" s="100"/>
      <c r="BC40" s="39"/>
      <c r="BD40" s="100"/>
      <c r="BE40" s="39"/>
      <c r="BF40" s="100"/>
      <c r="BG40" s="39"/>
      <c r="BH40" s="100"/>
      <c r="BI40" s="39"/>
      <c r="BJ40" s="100"/>
      <c r="BK40" s="39"/>
      <c r="BL40" s="100"/>
      <c r="BM40" s="39"/>
      <c r="BN40" s="100"/>
      <c r="BO40" s="39"/>
      <c r="BP40" s="100"/>
      <c r="BQ40" s="39"/>
      <c r="BR40" s="40" t="str">
        <f t="shared" ref="BR40:BS40" si="77">SUM('Oct 24:Sept 25'!BR40)</f>
        <v>#REF!</v>
      </c>
      <c r="BS40" s="41" t="str">
        <f t="shared" si="77"/>
        <v>#REF!</v>
      </c>
      <c r="BT40" s="42"/>
      <c r="BU40" s="42"/>
      <c r="BV40" s="155" t="str">
        <f t="shared" si="5"/>
        <v>#REF!</v>
      </c>
      <c r="BW40" s="156" t="str">
        <f t="shared" si="6"/>
        <v>#REF!</v>
      </c>
      <c r="BX40" s="157" t="str">
        <f t="shared" si="7"/>
        <v>#REF!</v>
      </c>
    </row>
    <row r="41" ht="12.0" customHeight="1">
      <c r="A41" s="101"/>
      <c r="B41" s="29"/>
      <c r="C41" s="30"/>
      <c r="D41" s="33" t="str">
        <f t="shared" ref="D41:E41" si="78">SUM('Oct 24:Sept 25'!D41)</f>
        <v>#REF!</v>
      </c>
      <c r="E41" s="154" t="str">
        <f t="shared" si="78"/>
        <v>#REF!</v>
      </c>
      <c r="F41" s="31"/>
      <c r="G41" s="32"/>
      <c r="H41" s="31"/>
      <c r="I41" s="32"/>
      <c r="J41" s="31"/>
      <c r="K41" s="32"/>
      <c r="L41" s="31"/>
      <c r="M41" s="32"/>
      <c r="N41" s="31"/>
      <c r="O41" s="32"/>
      <c r="P41" s="31"/>
      <c r="Q41" s="32"/>
      <c r="R41" s="31"/>
      <c r="S41" s="32"/>
      <c r="T41" s="31"/>
      <c r="U41" s="32"/>
      <c r="V41" s="31"/>
      <c r="W41" s="32"/>
      <c r="X41" s="34"/>
      <c r="Y41" s="35"/>
      <c r="Z41" s="34"/>
      <c r="AA41" s="35"/>
      <c r="AB41" s="34"/>
      <c r="AC41" s="35"/>
      <c r="AD41" s="34"/>
      <c r="AE41" s="35"/>
      <c r="AF41" s="34"/>
      <c r="AG41" s="35"/>
      <c r="AH41" s="34"/>
      <c r="AI41" s="35"/>
      <c r="AJ41" s="34"/>
      <c r="AK41" s="35"/>
      <c r="AL41" s="34"/>
      <c r="AM41" s="35"/>
      <c r="AN41" s="34"/>
      <c r="AO41" s="35"/>
      <c r="AP41" s="34"/>
      <c r="AQ41" s="35"/>
      <c r="AR41" s="34"/>
      <c r="AS41" s="35"/>
      <c r="AT41" s="34"/>
      <c r="AU41" s="35"/>
      <c r="AV41" s="34"/>
      <c r="AW41" s="35"/>
      <c r="AX41" s="34"/>
      <c r="AY41" s="37"/>
      <c r="AZ41" s="100"/>
      <c r="BA41" s="39"/>
      <c r="BB41" s="100"/>
      <c r="BC41" s="39"/>
      <c r="BD41" s="100"/>
      <c r="BE41" s="39"/>
      <c r="BF41" s="100"/>
      <c r="BG41" s="39"/>
      <c r="BH41" s="100"/>
      <c r="BI41" s="39"/>
      <c r="BJ41" s="100"/>
      <c r="BK41" s="39"/>
      <c r="BL41" s="100"/>
      <c r="BM41" s="39"/>
      <c r="BN41" s="100"/>
      <c r="BO41" s="39"/>
      <c r="BP41" s="100"/>
      <c r="BQ41" s="39"/>
      <c r="BR41" s="40" t="str">
        <f t="shared" ref="BR41:BS41" si="79">SUM('Oct 24:Sept 25'!BR41)</f>
        <v>#REF!</v>
      </c>
      <c r="BS41" s="41" t="str">
        <f t="shared" si="79"/>
        <v>#REF!</v>
      </c>
      <c r="BT41" s="42"/>
      <c r="BU41" s="42"/>
      <c r="BV41" s="155" t="str">
        <f t="shared" si="5"/>
        <v>#REF!</v>
      </c>
      <c r="BW41" s="156" t="str">
        <f t="shared" si="6"/>
        <v>#REF!</v>
      </c>
      <c r="BX41" s="157" t="str">
        <f t="shared" si="7"/>
        <v>#REF!</v>
      </c>
    </row>
    <row r="42" ht="12.0" customHeight="1">
      <c r="A42" s="101"/>
      <c r="B42" s="29"/>
      <c r="C42" s="30"/>
      <c r="D42" s="33" t="str">
        <f t="shared" ref="D42:E42" si="80">SUM('Oct 24:Sept 25'!D42)</f>
        <v>#REF!</v>
      </c>
      <c r="E42" s="154" t="str">
        <f t="shared" si="80"/>
        <v>#REF!</v>
      </c>
      <c r="F42" s="31"/>
      <c r="G42" s="32"/>
      <c r="H42" s="31"/>
      <c r="I42" s="32"/>
      <c r="J42" s="31"/>
      <c r="K42" s="32"/>
      <c r="L42" s="31"/>
      <c r="M42" s="32"/>
      <c r="N42" s="31"/>
      <c r="O42" s="32"/>
      <c r="P42" s="31"/>
      <c r="Q42" s="32"/>
      <c r="R42" s="31"/>
      <c r="S42" s="32"/>
      <c r="T42" s="31"/>
      <c r="U42" s="32"/>
      <c r="V42" s="31"/>
      <c r="W42" s="32"/>
      <c r="X42" s="34"/>
      <c r="Y42" s="35"/>
      <c r="Z42" s="34"/>
      <c r="AA42" s="35"/>
      <c r="AB42" s="34"/>
      <c r="AC42" s="35"/>
      <c r="AD42" s="34"/>
      <c r="AE42" s="35"/>
      <c r="AF42" s="34"/>
      <c r="AG42" s="35"/>
      <c r="AH42" s="34"/>
      <c r="AI42" s="35"/>
      <c r="AJ42" s="34"/>
      <c r="AK42" s="35"/>
      <c r="AL42" s="34"/>
      <c r="AM42" s="35"/>
      <c r="AN42" s="34"/>
      <c r="AO42" s="35"/>
      <c r="AP42" s="34"/>
      <c r="AQ42" s="35"/>
      <c r="AR42" s="34"/>
      <c r="AS42" s="35"/>
      <c r="AT42" s="34"/>
      <c r="AU42" s="35"/>
      <c r="AV42" s="34"/>
      <c r="AW42" s="35"/>
      <c r="AX42" s="34"/>
      <c r="AY42" s="37"/>
      <c r="AZ42" s="100"/>
      <c r="BA42" s="39"/>
      <c r="BB42" s="100"/>
      <c r="BC42" s="39"/>
      <c r="BD42" s="100"/>
      <c r="BE42" s="39"/>
      <c r="BF42" s="100"/>
      <c r="BG42" s="39"/>
      <c r="BH42" s="100"/>
      <c r="BI42" s="39"/>
      <c r="BJ42" s="100"/>
      <c r="BK42" s="39"/>
      <c r="BL42" s="100"/>
      <c r="BM42" s="39"/>
      <c r="BN42" s="100"/>
      <c r="BO42" s="39"/>
      <c r="BP42" s="100"/>
      <c r="BQ42" s="39"/>
      <c r="BR42" s="40" t="str">
        <f t="shared" ref="BR42:BS42" si="81">SUM('Oct 24:Sept 25'!BR42)</f>
        <v>#REF!</v>
      </c>
      <c r="BS42" s="41" t="str">
        <f t="shared" si="81"/>
        <v>#REF!</v>
      </c>
      <c r="BT42" s="42"/>
      <c r="BU42" s="42"/>
      <c r="BV42" s="155" t="str">
        <f t="shared" si="5"/>
        <v>#REF!</v>
      </c>
      <c r="BW42" s="156" t="str">
        <f t="shared" si="6"/>
        <v>#REF!</v>
      </c>
      <c r="BX42" s="157" t="str">
        <f t="shared" si="7"/>
        <v>#REF!</v>
      </c>
    </row>
    <row r="43" ht="12.0" customHeight="1">
      <c r="A43" s="101"/>
      <c r="B43" s="29"/>
      <c r="C43" s="30"/>
      <c r="D43" s="33" t="str">
        <f t="shared" ref="D43:E43" si="82">SUM('Oct 24:Sept 25'!D43)</f>
        <v>#REF!</v>
      </c>
      <c r="E43" s="154" t="str">
        <f t="shared" si="82"/>
        <v>#REF!</v>
      </c>
      <c r="F43" s="31"/>
      <c r="G43" s="32"/>
      <c r="H43" s="31"/>
      <c r="I43" s="32"/>
      <c r="J43" s="31"/>
      <c r="K43" s="32"/>
      <c r="L43" s="31"/>
      <c r="M43" s="32"/>
      <c r="N43" s="31"/>
      <c r="O43" s="32"/>
      <c r="P43" s="31"/>
      <c r="Q43" s="32"/>
      <c r="R43" s="31"/>
      <c r="S43" s="32"/>
      <c r="T43" s="31"/>
      <c r="U43" s="32"/>
      <c r="V43" s="31"/>
      <c r="W43" s="32"/>
      <c r="X43" s="34"/>
      <c r="Y43" s="35"/>
      <c r="Z43" s="34"/>
      <c r="AA43" s="35"/>
      <c r="AB43" s="34"/>
      <c r="AC43" s="35"/>
      <c r="AD43" s="34"/>
      <c r="AE43" s="35"/>
      <c r="AF43" s="34"/>
      <c r="AG43" s="35"/>
      <c r="AH43" s="34"/>
      <c r="AI43" s="35"/>
      <c r="AJ43" s="34"/>
      <c r="AK43" s="35"/>
      <c r="AL43" s="34"/>
      <c r="AM43" s="35"/>
      <c r="AN43" s="34"/>
      <c r="AO43" s="35"/>
      <c r="AP43" s="34"/>
      <c r="AQ43" s="35"/>
      <c r="AR43" s="34"/>
      <c r="AS43" s="35"/>
      <c r="AT43" s="34"/>
      <c r="AU43" s="35"/>
      <c r="AV43" s="34"/>
      <c r="AW43" s="35"/>
      <c r="AX43" s="34"/>
      <c r="AY43" s="37"/>
      <c r="AZ43" s="100"/>
      <c r="BA43" s="39"/>
      <c r="BB43" s="100"/>
      <c r="BC43" s="39"/>
      <c r="BD43" s="100"/>
      <c r="BE43" s="39"/>
      <c r="BF43" s="100"/>
      <c r="BG43" s="39"/>
      <c r="BH43" s="100"/>
      <c r="BI43" s="39"/>
      <c r="BJ43" s="100"/>
      <c r="BK43" s="39"/>
      <c r="BL43" s="100"/>
      <c r="BM43" s="39"/>
      <c r="BN43" s="100"/>
      <c r="BO43" s="39"/>
      <c r="BP43" s="100"/>
      <c r="BQ43" s="39"/>
      <c r="BR43" s="40" t="str">
        <f t="shared" ref="BR43:BS43" si="83">SUM('Oct 24:Sept 25'!BR43)</f>
        <v>#REF!</v>
      </c>
      <c r="BS43" s="41" t="str">
        <f t="shared" si="83"/>
        <v>#REF!</v>
      </c>
      <c r="BT43" s="42"/>
      <c r="BU43" s="42"/>
      <c r="BV43" s="155" t="str">
        <f t="shared" si="5"/>
        <v>#REF!</v>
      </c>
      <c r="BW43" s="156" t="str">
        <f t="shared" si="6"/>
        <v>#REF!</v>
      </c>
      <c r="BX43" s="157" t="str">
        <f t="shared" si="7"/>
        <v>#REF!</v>
      </c>
    </row>
    <row r="44" ht="12.0" customHeight="1">
      <c r="A44" s="101"/>
      <c r="B44" s="29"/>
      <c r="C44" s="30"/>
      <c r="D44" s="33" t="str">
        <f t="shared" ref="D44:E44" si="84">SUM('Oct 24:Sept 25'!D44)</f>
        <v>#REF!</v>
      </c>
      <c r="E44" s="154" t="str">
        <f t="shared" si="84"/>
        <v>#REF!</v>
      </c>
      <c r="F44" s="31"/>
      <c r="G44" s="32"/>
      <c r="H44" s="31"/>
      <c r="I44" s="32"/>
      <c r="J44" s="31"/>
      <c r="K44" s="32"/>
      <c r="L44" s="31"/>
      <c r="M44" s="32"/>
      <c r="N44" s="31"/>
      <c r="O44" s="32"/>
      <c r="P44" s="31"/>
      <c r="Q44" s="32"/>
      <c r="R44" s="31"/>
      <c r="S44" s="32"/>
      <c r="T44" s="31"/>
      <c r="U44" s="32"/>
      <c r="V44" s="31"/>
      <c r="W44" s="32"/>
      <c r="X44" s="34"/>
      <c r="Y44" s="35"/>
      <c r="Z44" s="34"/>
      <c r="AA44" s="35"/>
      <c r="AB44" s="34"/>
      <c r="AC44" s="35"/>
      <c r="AD44" s="34"/>
      <c r="AE44" s="35"/>
      <c r="AF44" s="34"/>
      <c r="AG44" s="35"/>
      <c r="AH44" s="34"/>
      <c r="AI44" s="35"/>
      <c r="AJ44" s="34"/>
      <c r="AK44" s="35"/>
      <c r="AL44" s="34"/>
      <c r="AM44" s="35"/>
      <c r="AN44" s="34"/>
      <c r="AO44" s="35"/>
      <c r="AP44" s="34"/>
      <c r="AQ44" s="35"/>
      <c r="AR44" s="34"/>
      <c r="AS44" s="35"/>
      <c r="AT44" s="34"/>
      <c r="AU44" s="35"/>
      <c r="AV44" s="34"/>
      <c r="AW44" s="35"/>
      <c r="AX44" s="34"/>
      <c r="AY44" s="37"/>
      <c r="AZ44" s="100"/>
      <c r="BA44" s="39"/>
      <c r="BB44" s="100"/>
      <c r="BC44" s="39"/>
      <c r="BD44" s="100"/>
      <c r="BE44" s="39"/>
      <c r="BF44" s="100"/>
      <c r="BG44" s="39"/>
      <c r="BH44" s="100"/>
      <c r="BI44" s="39"/>
      <c r="BJ44" s="100"/>
      <c r="BK44" s="39"/>
      <c r="BL44" s="100"/>
      <c r="BM44" s="39"/>
      <c r="BN44" s="100"/>
      <c r="BO44" s="39"/>
      <c r="BP44" s="100"/>
      <c r="BQ44" s="39"/>
      <c r="BR44" s="40" t="str">
        <f t="shared" ref="BR44:BS44" si="85">SUM('Oct 24:Sept 25'!BR44)</f>
        <v>#REF!</v>
      </c>
      <c r="BS44" s="41" t="str">
        <f t="shared" si="85"/>
        <v>#REF!</v>
      </c>
      <c r="BT44" s="42"/>
      <c r="BU44" s="42"/>
      <c r="BV44" s="155" t="str">
        <f t="shared" si="5"/>
        <v>#REF!</v>
      </c>
      <c r="BW44" s="156" t="str">
        <f t="shared" si="6"/>
        <v>#REF!</v>
      </c>
      <c r="BX44" s="157" t="str">
        <f t="shared" si="7"/>
        <v>#REF!</v>
      </c>
    </row>
    <row r="45" ht="12.0" customHeight="1">
      <c r="A45" s="101"/>
      <c r="B45" s="29"/>
      <c r="C45" s="30"/>
      <c r="D45" s="33" t="str">
        <f t="shared" ref="D45:E45" si="86">SUM('Oct 24:Sept 25'!D45)</f>
        <v>#REF!</v>
      </c>
      <c r="E45" s="154" t="str">
        <f t="shared" si="86"/>
        <v>#REF!</v>
      </c>
      <c r="F45" s="31"/>
      <c r="G45" s="32"/>
      <c r="H45" s="31"/>
      <c r="I45" s="32"/>
      <c r="J45" s="31"/>
      <c r="K45" s="32"/>
      <c r="L45" s="31"/>
      <c r="M45" s="32"/>
      <c r="N45" s="31"/>
      <c r="O45" s="32"/>
      <c r="P45" s="31"/>
      <c r="Q45" s="32"/>
      <c r="R45" s="31"/>
      <c r="S45" s="32"/>
      <c r="T45" s="31"/>
      <c r="U45" s="32"/>
      <c r="V45" s="31"/>
      <c r="W45" s="32"/>
      <c r="X45" s="34"/>
      <c r="Y45" s="35"/>
      <c r="Z45" s="34"/>
      <c r="AA45" s="35"/>
      <c r="AB45" s="34"/>
      <c r="AC45" s="35"/>
      <c r="AD45" s="34"/>
      <c r="AE45" s="35"/>
      <c r="AF45" s="34"/>
      <c r="AG45" s="35"/>
      <c r="AH45" s="34"/>
      <c r="AI45" s="35"/>
      <c r="AJ45" s="34"/>
      <c r="AK45" s="35"/>
      <c r="AL45" s="34"/>
      <c r="AM45" s="35"/>
      <c r="AN45" s="34"/>
      <c r="AO45" s="35"/>
      <c r="AP45" s="34"/>
      <c r="AQ45" s="35"/>
      <c r="AR45" s="34"/>
      <c r="AS45" s="35"/>
      <c r="AT45" s="34"/>
      <c r="AU45" s="35"/>
      <c r="AV45" s="34"/>
      <c r="AW45" s="35"/>
      <c r="AX45" s="34"/>
      <c r="AY45" s="37"/>
      <c r="AZ45" s="100"/>
      <c r="BA45" s="39"/>
      <c r="BB45" s="100"/>
      <c r="BC45" s="39"/>
      <c r="BD45" s="100"/>
      <c r="BE45" s="39"/>
      <c r="BF45" s="100"/>
      <c r="BG45" s="39"/>
      <c r="BH45" s="100"/>
      <c r="BI45" s="39"/>
      <c r="BJ45" s="100"/>
      <c r="BK45" s="39"/>
      <c r="BL45" s="100"/>
      <c r="BM45" s="39"/>
      <c r="BN45" s="100"/>
      <c r="BO45" s="39"/>
      <c r="BP45" s="100"/>
      <c r="BQ45" s="39"/>
      <c r="BR45" s="40" t="str">
        <f t="shared" ref="BR45:BS45" si="87">SUM('Oct 24:Sept 25'!BR45)</f>
        <v>#REF!</v>
      </c>
      <c r="BS45" s="41" t="str">
        <f t="shared" si="87"/>
        <v>#REF!</v>
      </c>
      <c r="BT45" s="42"/>
      <c r="BU45" s="42"/>
      <c r="BV45" s="155" t="str">
        <f t="shared" si="5"/>
        <v>#REF!</v>
      </c>
      <c r="BW45" s="156" t="str">
        <f t="shared" si="6"/>
        <v>#REF!</v>
      </c>
      <c r="BX45" s="157" t="str">
        <f t="shared" si="7"/>
        <v>#REF!</v>
      </c>
    </row>
    <row r="46" ht="12.0" customHeight="1">
      <c r="A46" s="101"/>
      <c r="B46" s="29"/>
      <c r="C46" s="30"/>
      <c r="D46" s="33" t="str">
        <f t="shared" ref="D46:E46" si="88">SUM('Oct 24:Sept 25'!D46)</f>
        <v>#REF!</v>
      </c>
      <c r="E46" s="154" t="str">
        <f t="shared" si="88"/>
        <v>#REF!</v>
      </c>
      <c r="F46" s="31"/>
      <c r="G46" s="32"/>
      <c r="H46" s="31"/>
      <c r="I46" s="32"/>
      <c r="J46" s="31"/>
      <c r="K46" s="32"/>
      <c r="L46" s="31"/>
      <c r="M46" s="32"/>
      <c r="N46" s="31"/>
      <c r="O46" s="32"/>
      <c r="P46" s="31"/>
      <c r="Q46" s="32"/>
      <c r="R46" s="31"/>
      <c r="S46" s="32"/>
      <c r="T46" s="31"/>
      <c r="U46" s="32"/>
      <c r="V46" s="31"/>
      <c r="W46" s="32"/>
      <c r="X46" s="34"/>
      <c r="Y46" s="35"/>
      <c r="Z46" s="34"/>
      <c r="AA46" s="35"/>
      <c r="AB46" s="34"/>
      <c r="AC46" s="35"/>
      <c r="AD46" s="34"/>
      <c r="AE46" s="35"/>
      <c r="AF46" s="34"/>
      <c r="AG46" s="35"/>
      <c r="AH46" s="34"/>
      <c r="AI46" s="35"/>
      <c r="AJ46" s="34"/>
      <c r="AK46" s="35"/>
      <c r="AL46" s="34"/>
      <c r="AM46" s="35"/>
      <c r="AN46" s="34"/>
      <c r="AO46" s="35"/>
      <c r="AP46" s="34"/>
      <c r="AQ46" s="35"/>
      <c r="AR46" s="34"/>
      <c r="AS46" s="35"/>
      <c r="AT46" s="34"/>
      <c r="AU46" s="35"/>
      <c r="AV46" s="34"/>
      <c r="AW46" s="35"/>
      <c r="AX46" s="34"/>
      <c r="AY46" s="37"/>
      <c r="AZ46" s="100"/>
      <c r="BA46" s="39"/>
      <c r="BB46" s="100"/>
      <c r="BC46" s="39"/>
      <c r="BD46" s="100"/>
      <c r="BE46" s="39"/>
      <c r="BF46" s="100"/>
      <c r="BG46" s="39"/>
      <c r="BH46" s="100"/>
      <c r="BI46" s="39"/>
      <c r="BJ46" s="100"/>
      <c r="BK46" s="39"/>
      <c r="BL46" s="100"/>
      <c r="BM46" s="39"/>
      <c r="BN46" s="100"/>
      <c r="BO46" s="39"/>
      <c r="BP46" s="100"/>
      <c r="BQ46" s="39"/>
      <c r="BR46" s="40" t="str">
        <f t="shared" ref="BR46:BS46" si="89">SUM('Oct 24:Sept 25'!BR46)</f>
        <v>#REF!</v>
      </c>
      <c r="BS46" s="41" t="str">
        <f t="shared" si="89"/>
        <v>#REF!</v>
      </c>
      <c r="BT46" s="42"/>
      <c r="BU46" s="42"/>
      <c r="BV46" s="155" t="str">
        <f t="shared" si="5"/>
        <v>#REF!</v>
      </c>
      <c r="BW46" s="156" t="str">
        <f t="shared" si="6"/>
        <v>#REF!</v>
      </c>
      <c r="BX46" s="157" t="str">
        <f t="shared" si="7"/>
        <v>#REF!</v>
      </c>
    </row>
    <row r="47" ht="12.0" customHeight="1">
      <c r="A47" s="101"/>
      <c r="B47" s="29"/>
      <c r="C47" s="30"/>
      <c r="D47" s="33" t="str">
        <f t="shared" ref="D47:E47" si="90">SUM('Oct 24:Sept 25'!D47)</f>
        <v>#REF!</v>
      </c>
      <c r="E47" s="154" t="str">
        <f t="shared" si="90"/>
        <v>#REF!</v>
      </c>
      <c r="F47" s="31"/>
      <c r="G47" s="32"/>
      <c r="H47" s="31"/>
      <c r="I47" s="32"/>
      <c r="J47" s="31"/>
      <c r="K47" s="32"/>
      <c r="L47" s="31"/>
      <c r="M47" s="32"/>
      <c r="N47" s="31"/>
      <c r="O47" s="32"/>
      <c r="P47" s="31"/>
      <c r="Q47" s="32"/>
      <c r="R47" s="31"/>
      <c r="S47" s="32"/>
      <c r="T47" s="31"/>
      <c r="U47" s="32"/>
      <c r="V47" s="31"/>
      <c r="W47" s="32"/>
      <c r="X47" s="34"/>
      <c r="Y47" s="35"/>
      <c r="Z47" s="34"/>
      <c r="AA47" s="35"/>
      <c r="AB47" s="34"/>
      <c r="AC47" s="35"/>
      <c r="AD47" s="34"/>
      <c r="AE47" s="35"/>
      <c r="AF47" s="34"/>
      <c r="AG47" s="35"/>
      <c r="AH47" s="34"/>
      <c r="AI47" s="35"/>
      <c r="AJ47" s="34"/>
      <c r="AK47" s="35"/>
      <c r="AL47" s="34"/>
      <c r="AM47" s="35"/>
      <c r="AN47" s="34"/>
      <c r="AO47" s="35"/>
      <c r="AP47" s="34"/>
      <c r="AQ47" s="35"/>
      <c r="AR47" s="34"/>
      <c r="AS47" s="35"/>
      <c r="AT47" s="34"/>
      <c r="AU47" s="35"/>
      <c r="AV47" s="34"/>
      <c r="AW47" s="35"/>
      <c r="AX47" s="34"/>
      <c r="AY47" s="37"/>
      <c r="AZ47" s="100"/>
      <c r="BA47" s="39"/>
      <c r="BB47" s="100"/>
      <c r="BC47" s="39"/>
      <c r="BD47" s="100"/>
      <c r="BE47" s="39"/>
      <c r="BF47" s="100"/>
      <c r="BG47" s="39"/>
      <c r="BH47" s="100"/>
      <c r="BI47" s="39"/>
      <c r="BJ47" s="100"/>
      <c r="BK47" s="39"/>
      <c r="BL47" s="100"/>
      <c r="BM47" s="39"/>
      <c r="BN47" s="100"/>
      <c r="BO47" s="39"/>
      <c r="BP47" s="100"/>
      <c r="BQ47" s="39"/>
      <c r="BR47" s="40" t="str">
        <f t="shared" ref="BR47:BS47" si="91">SUM('Oct 24:Sept 25'!BR47)</f>
        <v>#REF!</v>
      </c>
      <c r="BS47" s="41" t="str">
        <f t="shared" si="91"/>
        <v>#REF!</v>
      </c>
      <c r="BT47" s="42"/>
      <c r="BU47" s="42"/>
      <c r="BV47" s="155" t="str">
        <f t="shared" si="5"/>
        <v>#REF!</v>
      </c>
      <c r="BW47" s="156" t="str">
        <f t="shared" si="6"/>
        <v>#REF!</v>
      </c>
      <c r="BX47" s="157" t="str">
        <f t="shared" si="7"/>
        <v>#REF!</v>
      </c>
    </row>
    <row r="48" ht="12.0" customHeight="1">
      <c r="A48" s="101"/>
      <c r="B48" s="29"/>
      <c r="C48" s="30"/>
      <c r="D48" s="33" t="str">
        <f t="shared" ref="D48:E48" si="92">SUM('Oct 24:Sept 25'!D48)</f>
        <v>#REF!</v>
      </c>
      <c r="E48" s="154" t="str">
        <f t="shared" si="92"/>
        <v>#REF!</v>
      </c>
      <c r="F48" s="31"/>
      <c r="G48" s="32"/>
      <c r="H48" s="31"/>
      <c r="I48" s="32"/>
      <c r="J48" s="31"/>
      <c r="K48" s="32"/>
      <c r="L48" s="31"/>
      <c r="M48" s="32"/>
      <c r="N48" s="31"/>
      <c r="O48" s="32"/>
      <c r="P48" s="31"/>
      <c r="Q48" s="32"/>
      <c r="R48" s="31"/>
      <c r="S48" s="32"/>
      <c r="T48" s="31"/>
      <c r="U48" s="32"/>
      <c r="V48" s="31"/>
      <c r="W48" s="32"/>
      <c r="X48" s="34"/>
      <c r="Y48" s="35"/>
      <c r="Z48" s="34"/>
      <c r="AA48" s="35"/>
      <c r="AB48" s="34"/>
      <c r="AC48" s="35"/>
      <c r="AD48" s="34"/>
      <c r="AE48" s="35"/>
      <c r="AF48" s="34"/>
      <c r="AG48" s="35"/>
      <c r="AH48" s="34"/>
      <c r="AI48" s="35"/>
      <c r="AJ48" s="34"/>
      <c r="AK48" s="35"/>
      <c r="AL48" s="34"/>
      <c r="AM48" s="35"/>
      <c r="AN48" s="34"/>
      <c r="AO48" s="35"/>
      <c r="AP48" s="34"/>
      <c r="AQ48" s="35"/>
      <c r="AR48" s="34"/>
      <c r="AS48" s="35"/>
      <c r="AT48" s="34"/>
      <c r="AU48" s="35"/>
      <c r="AV48" s="34"/>
      <c r="AW48" s="35"/>
      <c r="AX48" s="34"/>
      <c r="AY48" s="37"/>
      <c r="AZ48" s="100"/>
      <c r="BA48" s="39"/>
      <c r="BB48" s="100"/>
      <c r="BC48" s="39"/>
      <c r="BD48" s="100"/>
      <c r="BE48" s="39"/>
      <c r="BF48" s="100"/>
      <c r="BG48" s="39"/>
      <c r="BH48" s="100"/>
      <c r="BI48" s="39"/>
      <c r="BJ48" s="100"/>
      <c r="BK48" s="39"/>
      <c r="BL48" s="100"/>
      <c r="BM48" s="39"/>
      <c r="BN48" s="100"/>
      <c r="BO48" s="39"/>
      <c r="BP48" s="100"/>
      <c r="BQ48" s="39"/>
      <c r="BR48" s="40" t="str">
        <f t="shared" ref="BR48:BS48" si="93">SUM('Oct 24:Sept 25'!BR48)</f>
        <v>#REF!</v>
      </c>
      <c r="BS48" s="41" t="str">
        <f t="shared" si="93"/>
        <v>#REF!</v>
      </c>
      <c r="BT48" s="42"/>
      <c r="BU48" s="42"/>
      <c r="BV48" s="155" t="str">
        <f t="shared" si="5"/>
        <v>#REF!</v>
      </c>
      <c r="BW48" s="156" t="str">
        <f t="shared" si="6"/>
        <v>#REF!</v>
      </c>
      <c r="BX48" s="157" t="str">
        <f t="shared" si="7"/>
        <v>#REF!</v>
      </c>
    </row>
    <row r="49" ht="12.0" customHeight="1">
      <c r="A49" s="101"/>
      <c r="B49" s="29"/>
      <c r="C49" s="30"/>
      <c r="D49" s="33" t="str">
        <f t="shared" ref="D49:E49" si="94">SUM('Oct 24:Sept 25'!D49)</f>
        <v>#REF!</v>
      </c>
      <c r="E49" s="154" t="str">
        <f t="shared" si="94"/>
        <v>#REF!</v>
      </c>
      <c r="F49" s="31"/>
      <c r="G49" s="32"/>
      <c r="H49" s="31"/>
      <c r="I49" s="32"/>
      <c r="J49" s="31"/>
      <c r="K49" s="32"/>
      <c r="L49" s="31"/>
      <c r="M49" s="32"/>
      <c r="N49" s="31"/>
      <c r="O49" s="32"/>
      <c r="P49" s="31"/>
      <c r="Q49" s="32"/>
      <c r="R49" s="31"/>
      <c r="S49" s="32"/>
      <c r="T49" s="31"/>
      <c r="U49" s="32"/>
      <c r="V49" s="31"/>
      <c r="W49" s="32"/>
      <c r="X49" s="34"/>
      <c r="Y49" s="35"/>
      <c r="Z49" s="34"/>
      <c r="AA49" s="35"/>
      <c r="AB49" s="34"/>
      <c r="AC49" s="35"/>
      <c r="AD49" s="34"/>
      <c r="AE49" s="35"/>
      <c r="AF49" s="34"/>
      <c r="AG49" s="35"/>
      <c r="AH49" s="34"/>
      <c r="AI49" s="35"/>
      <c r="AJ49" s="34"/>
      <c r="AK49" s="35"/>
      <c r="AL49" s="34"/>
      <c r="AM49" s="35"/>
      <c r="AN49" s="34"/>
      <c r="AO49" s="35"/>
      <c r="AP49" s="34"/>
      <c r="AQ49" s="35"/>
      <c r="AR49" s="34"/>
      <c r="AS49" s="35"/>
      <c r="AT49" s="34"/>
      <c r="AU49" s="35"/>
      <c r="AV49" s="34"/>
      <c r="AW49" s="35"/>
      <c r="AX49" s="34"/>
      <c r="AY49" s="37"/>
      <c r="AZ49" s="100"/>
      <c r="BA49" s="39"/>
      <c r="BB49" s="100"/>
      <c r="BC49" s="39"/>
      <c r="BD49" s="100"/>
      <c r="BE49" s="39"/>
      <c r="BF49" s="100"/>
      <c r="BG49" s="39"/>
      <c r="BH49" s="100"/>
      <c r="BI49" s="39"/>
      <c r="BJ49" s="100"/>
      <c r="BK49" s="39"/>
      <c r="BL49" s="100"/>
      <c r="BM49" s="39"/>
      <c r="BN49" s="100"/>
      <c r="BO49" s="39"/>
      <c r="BP49" s="100"/>
      <c r="BQ49" s="39"/>
      <c r="BR49" s="40" t="str">
        <f t="shared" ref="BR49:BS49" si="95">SUM('Oct 24:Sept 25'!BR49)</f>
        <v>#REF!</v>
      </c>
      <c r="BS49" s="41" t="str">
        <f t="shared" si="95"/>
        <v>#REF!</v>
      </c>
      <c r="BT49" s="42"/>
      <c r="BU49" s="42"/>
      <c r="BV49" s="155" t="str">
        <f t="shared" si="5"/>
        <v>#REF!</v>
      </c>
      <c r="BW49" s="156" t="str">
        <f t="shared" si="6"/>
        <v>#REF!</v>
      </c>
      <c r="BX49" s="157" t="str">
        <f t="shared" si="7"/>
        <v>#REF!</v>
      </c>
    </row>
    <row r="50" ht="12.0" customHeight="1">
      <c r="A50" s="101"/>
      <c r="B50" s="29"/>
      <c r="C50" s="30"/>
      <c r="D50" s="33" t="str">
        <f t="shared" ref="D50:E50" si="96">SUM('Oct 24:Sept 25'!D50)</f>
        <v>#REF!</v>
      </c>
      <c r="E50" s="154" t="str">
        <f t="shared" si="96"/>
        <v>#REF!</v>
      </c>
      <c r="F50" s="31"/>
      <c r="G50" s="32"/>
      <c r="H50" s="31"/>
      <c r="I50" s="32"/>
      <c r="J50" s="31"/>
      <c r="K50" s="32"/>
      <c r="L50" s="31"/>
      <c r="M50" s="32"/>
      <c r="N50" s="31"/>
      <c r="O50" s="32"/>
      <c r="P50" s="31"/>
      <c r="Q50" s="32"/>
      <c r="R50" s="31"/>
      <c r="S50" s="32"/>
      <c r="T50" s="31"/>
      <c r="U50" s="32"/>
      <c r="V50" s="31"/>
      <c r="W50" s="32"/>
      <c r="X50" s="34"/>
      <c r="Y50" s="35"/>
      <c r="Z50" s="34"/>
      <c r="AA50" s="35"/>
      <c r="AB50" s="34"/>
      <c r="AC50" s="35"/>
      <c r="AD50" s="34"/>
      <c r="AE50" s="35"/>
      <c r="AF50" s="34"/>
      <c r="AG50" s="35"/>
      <c r="AH50" s="34"/>
      <c r="AI50" s="35"/>
      <c r="AJ50" s="34"/>
      <c r="AK50" s="35"/>
      <c r="AL50" s="34"/>
      <c r="AM50" s="35"/>
      <c r="AN50" s="34"/>
      <c r="AO50" s="35"/>
      <c r="AP50" s="34"/>
      <c r="AQ50" s="35"/>
      <c r="AR50" s="34"/>
      <c r="AS50" s="35"/>
      <c r="AT50" s="34"/>
      <c r="AU50" s="35"/>
      <c r="AV50" s="34"/>
      <c r="AW50" s="35"/>
      <c r="AX50" s="34"/>
      <c r="AY50" s="37"/>
      <c r="AZ50" s="100"/>
      <c r="BA50" s="39"/>
      <c r="BB50" s="100"/>
      <c r="BC50" s="39"/>
      <c r="BD50" s="100"/>
      <c r="BE50" s="39"/>
      <c r="BF50" s="100"/>
      <c r="BG50" s="39"/>
      <c r="BH50" s="100"/>
      <c r="BI50" s="39"/>
      <c r="BJ50" s="100"/>
      <c r="BK50" s="39"/>
      <c r="BL50" s="100"/>
      <c r="BM50" s="39"/>
      <c r="BN50" s="100"/>
      <c r="BO50" s="39"/>
      <c r="BP50" s="100"/>
      <c r="BQ50" s="39"/>
      <c r="BR50" s="40" t="str">
        <f t="shared" ref="BR50:BS50" si="97">SUM('Oct 24:Sept 25'!BR50)</f>
        <v>#REF!</v>
      </c>
      <c r="BS50" s="41" t="str">
        <f t="shared" si="97"/>
        <v>#REF!</v>
      </c>
      <c r="BT50" s="42"/>
      <c r="BU50" s="42"/>
      <c r="BV50" s="155" t="str">
        <f t="shared" si="5"/>
        <v>#REF!</v>
      </c>
      <c r="BW50" s="156" t="str">
        <f t="shared" si="6"/>
        <v>#REF!</v>
      </c>
      <c r="BX50" s="157" t="str">
        <f t="shared" si="7"/>
        <v>#REF!</v>
      </c>
    </row>
    <row r="51" ht="12.0" customHeight="1">
      <c r="A51" s="101"/>
      <c r="B51" s="29"/>
      <c r="C51" s="30"/>
      <c r="D51" s="33" t="str">
        <f t="shared" ref="D51:E51" si="98">SUM('Oct 24:Sept 25'!D51)</f>
        <v>#REF!</v>
      </c>
      <c r="E51" s="154" t="str">
        <f t="shared" si="98"/>
        <v>#REF!</v>
      </c>
      <c r="F51" s="31"/>
      <c r="G51" s="32"/>
      <c r="H51" s="31"/>
      <c r="I51" s="32"/>
      <c r="J51" s="31"/>
      <c r="K51" s="32"/>
      <c r="L51" s="31"/>
      <c r="M51" s="32"/>
      <c r="N51" s="31"/>
      <c r="O51" s="32"/>
      <c r="P51" s="31"/>
      <c r="Q51" s="32"/>
      <c r="R51" s="31"/>
      <c r="S51" s="32"/>
      <c r="T51" s="31"/>
      <c r="U51" s="32"/>
      <c r="V51" s="31"/>
      <c r="W51" s="32"/>
      <c r="X51" s="34"/>
      <c r="Y51" s="35"/>
      <c r="Z51" s="34"/>
      <c r="AA51" s="35"/>
      <c r="AB51" s="34"/>
      <c r="AC51" s="35"/>
      <c r="AD51" s="34"/>
      <c r="AE51" s="35"/>
      <c r="AF51" s="34"/>
      <c r="AG51" s="35"/>
      <c r="AH51" s="34"/>
      <c r="AI51" s="35"/>
      <c r="AJ51" s="34"/>
      <c r="AK51" s="35"/>
      <c r="AL51" s="34"/>
      <c r="AM51" s="35"/>
      <c r="AN51" s="34"/>
      <c r="AO51" s="35"/>
      <c r="AP51" s="34"/>
      <c r="AQ51" s="35"/>
      <c r="AR51" s="34"/>
      <c r="AS51" s="35"/>
      <c r="AT51" s="34"/>
      <c r="AU51" s="35"/>
      <c r="AV51" s="34"/>
      <c r="AW51" s="35"/>
      <c r="AX51" s="34"/>
      <c r="AY51" s="37"/>
      <c r="AZ51" s="100"/>
      <c r="BA51" s="39"/>
      <c r="BB51" s="100"/>
      <c r="BC51" s="39"/>
      <c r="BD51" s="100"/>
      <c r="BE51" s="39"/>
      <c r="BF51" s="100"/>
      <c r="BG51" s="39"/>
      <c r="BH51" s="100"/>
      <c r="BI51" s="39"/>
      <c r="BJ51" s="100"/>
      <c r="BK51" s="39"/>
      <c r="BL51" s="100"/>
      <c r="BM51" s="39"/>
      <c r="BN51" s="100"/>
      <c r="BO51" s="39"/>
      <c r="BP51" s="100"/>
      <c r="BQ51" s="39"/>
      <c r="BR51" s="40" t="str">
        <f t="shared" ref="BR51:BS51" si="99">SUM('Oct 24:Sept 25'!BR51)</f>
        <v>#REF!</v>
      </c>
      <c r="BS51" s="41" t="str">
        <f t="shared" si="99"/>
        <v>#REF!</v>
      </c>
      <c r="BT51" s="42"/>
      <c r="BU51" s="42"/>
      <c r="BV51" s="155" t="str">
        <f t="shared" si="5"/>
        <v>#REF!</v>
      </c>
      <c r="BW51" s="156" t="str">
        <f t="shared" si="6"/>
        <v>#REF!</v>
      </c>
      <c r="BX51" s="157" t="str">
        <f t="shared" si="7"/>
        <v>#REF!</v>
      </c>
    </row>
    <row r="52" ht="12.0" customHeight="1">
      <c r="A52" s="101"/>
      <c r="B52" s="29"/>
      <c r="C52" s="30"/>
      <c r="D52" s="33" t="str">
        <f t="shared" ref="D52:E52" si="100">SUM('Oct 24:Sept 25'!D52)</f>
        <v>#REF!</v>
      </c>
      <c r="E52" s="154" t="str">
        <f t="shared" si="100"/>
        <v>#REF!</v>
      </c>
      <c r="F52" s="31"/>
      <c r="G52" s="32"/>
      <c r="H52" s="31"/>
      <c r="I52" s="32"/>
      <c r="J52" s="31"/>
      <c r="K52" s="32"/>
      <c r="L52" s="31"/>
      <c r="M52" s="32"/>
      <c r="N52" s="31"/>
      <c r="O52" s="32"/>
      <c r="P52" s="31"/>
      <c r="Q52" s="32"/>
      <c r="R52" s="31"/>
      <c r="S52" s="32"/>
      <c r="T52" s="31"/>
      <c r="U52" s="32"/>
      <c r="V52" s="31"/>
      <c r="W52" s="32"/>
      <c r="X52" s="34"/>
      <c r="Y52" s="35"/>
      <c r="Z52" s="34"/>
      <c r="AA52" s="35"/>
      <c r="AB52" s="34"/>
      <c r="AC52" s="35"/>
      <c r="AD52" s="34"/>
      <c r="AE52" s="35"/>
      <c r="AF52" s="34"/>
      <c r="AG52" s="35"/>
      <c r="AH52" s="34"/>
      <c r="AI52" s="35"/>
      <c r="AJ52" s="34"/>
      <c r="AK52" s="35"/>
      <c r="AL52" s="34"/>
      <c r="AM52" s="35"/>
      <c r="AN52" s="34"/>
      <c r="AO52" s="35"/>
      <c r="AP52" s="34"/>
      <c r="AQ52" s="35"/>
      <c r="AR52" s="34"/>
      <c r="AS52" s="35"/>
      <c r="AT52" s="34"/>
      <c r="AU52" s="35"/>
      <c r="AV52" s="34"/>
      <c r="AW52" s="35"/>
      <c r="AX52" s="34"/>
      <c r="AY52" s="37"/>
      <c r="AZ52" s="100"/>
      <c r="BA52" s="39"/>
      <c r="BB52" s="100"/>
      <c r="BC52" s="39"/>
      <c r="BD52" s="100"/>
      <c r="BE52" s="39"/>
      <c r="BF52" s="100"/>
      <c r="BG52" s="39"/>
      <c r="BH52" s="100"/>
      <c r="BI52" s="39"/>
      <c r="BJ52" s="100"/>
      <c r="BK52" s="39"/>
      <c r="BL52" s="100"/>
      <c r="BM52" s="39"/>
      <c r="BN52" s="100"/>
      <c r="BO52" s="39"/>
      <c r="BP52" s="100"/>
      <c r="BQ52" s="39"/>
      <c r="BR52" s="40" t="str">
        <f t="shared" ref="BR52:BS52" si="101">SUM('Oct 24:Sept 25'!BR52)</f>
        <v>#REF!</v>
      </c>
      <c r="BS52" s="41" t="str">
        <f t="shared" si="101"/>
        <v>#REF!</v>
      </c>
      <c r="BT52" s="42"/>
      <c r="BU52" s="42"/>
      <c r="BV52" s="155" t="str">
        <f t="shared" si="5"/>
        <v>#REF!</v>
      </c>
      <c r="BW52" s="156" t="str">
        <f t="shared" si="6"/>
        <v>#REF!</v>
      </c>
      <c r="BX52" s="157" t="str">
        <f t="shared" si="7"/>
        <v>#REF!</v>
      </c>
    </row>
    <row r="53" ht="12.0" customHeight="1">
      <c r="A53" s="101"/>
      <c r="B53" s="29"/>
      <c r="C53" s="30"/>
      <c r="D53" s="33" t="str">
        <f t="shared" ref="D53:E53" si="102">SUM('Oct 24:Sept 25'!D53)</f>
        <v>#REF!</v>
      </c>
      <c r="E53" s="154" t="str">
        <f t="shared" si="102"/>
        <v>#REF!</v>
      </c>
      <c r="F53" s="31"/>
      <c r="G53" s="32"/>
      <c r="H53" s="31"/>
      <c r="I53" s="32"/>
      <c r="J53" s="31"/>
      <c r="K53" s="32"/>
      <c r="L53" s="31"/>
      <c r="M53" s="32"/>
      <c r="N53" s="31"/>
      <c r="O53" s="32"/>
      <c r="P53" s="31"/>
      <c r="Q53" s="32"/>
      <c r="R53" s="31"/>
      <c r="S53" s="32"/>
      <c r="T53" s="31"/>
      <c r="U53" s="32"/>
      <c r="V53" s="31"/>
      <c r="W53" s="32"/>
      <c r="X53" s="34"/>
      <c r="Y53" s="35"/>
      <c r="Z53" s="34"/>
      <c r="AA53" s="35"/>
      <c r="AB53" s="34"/>
      <c r="AC53" s="35"/>
      <c r="AD53" s="34"/>
      <c r="AE53" s="35"/>
      <c r="AF53" s="34"/>
      <c r="AG53" s="35"/>
      <c r="AH53" s="34"/>
      <c r="AI53" s="35"/>
      <c r="AJ53" s="34"/>
      <c r="AK53" s="35"/>
      <c r="AL53" s="34"/>
      <c r="AM53" s="35"/>
      <c r="AN53" s="34"/>
      <c r="AO53" s="35"/>
      <c r="AP53" s="34"/>
      <c r="AQ53" s="35"/>
      <c r="AR53" s="34"/>
      <c r="AS53" s="35"/>
      <c r="AT53" s="34"/>
      <c r="AU53" s="35"/>
      <c r="AV53" s="34"/>
      <c r="AW53" s="35"/>
      <c r="AX53" s="34"/>
      <c r="AY53" s="37"/>
      <c r="AZ53" s="100"/>
      <c r="BA53" s="39"/>
      <c r="BB53" s="100"/>
      <c r="BC53" s="39"/>
      <c r="BD53" s="100"/>
      <c r="BE53" s="39"/>
      <c r="BF53" s="100"/>
      <c r="BG53" s="39"/>
      <c r="BH53" s="100"/>
      <c r="BI53" s="39"/>
      <c r="BJ53" s="100"/>
      <c r="BK53" s="39"/>
      <c r="BL53" s="100"/>
      <c r="BM53" s="39"/>
      <c r="BN53" s="100"/>
      <c r="BO53" s="39"/>
      <c r="BP53" s="100"/>
      <c r="BQ53" s="39"/>
      <c r="BR53" s="40" t="str">
        <f t="shared" ref="BR53:BS53" si="103">SUM('Oct 24:Sept 25'!BR53)</f>
        <v>#REF!</v>
      </c>
      <c r="BS53" s="41" t="str">
        <f t="shared" si="103"/>
        <v>#REF!</v>
      </c>
      <c r="BT53" s="42"/>
      <c r="BU53" s="42"/>
      <c r="BV53" s="155" t="str">
        <f t="shared" si="5"/>
        <v>#REF!</v>
      </c>
      <c r="BW53" s="156" t="str">
        <f t="shared" si="6"/>
        <v>#REF!</v>
      </c>
      <c r="BX53" s="157" t="str">
        <f t="shared" si="7"/>
        <v>#REF!</v>
      </c>
    </row>
    <row r="54" ht="12.0" customHeight="1">
      <c r="A54" s="101"/>
      <c r="B54" s="29"/>
      <c r="C54" s="30"/>
      <c r="D54" s="33" t="str">
        <f t="shared" ref="D54:E54" si="104">SUM('Oct 24:Sept 25'!D54)</f>
        <v>#REF!</v>
      </c>
      <c r="E54" s="154" t="str">
        <f t="shared" si="104"/>
        <v>#REF!</v>
      </c>
      <c r="F54" s="31"/>
      <c r="G54" s="32"/>
      <c r="H54" s="31"/>
      <c r="I54" s="32"/>
      <c r="J54" s="31"/>
      <c r="K54" s="32"/>
      <c r="L54" s="31"/>
      <c r="M54" s="32"/>
      <c r="N54" s="31"/>
      <c r="O54" s="32"/>
      <c r="P54" s="31"/>
      <c r="Q54" s="32"/>
      <c r="R54" s="31"/>
      <c r="S54" s="32"/>
      <c r="T54" s="31"/>
      <c r="U54" s="32"/>
      <c r="V54" s="31"/>
      <c r="W54" s="32"/>
      <c r="X54" s="34"/>
      <c r="Y54" s="35"/>
      <c r="Z54" s="34"/>
      <c r="AA54" s="35"/>
      <c r="AB54" s="34"/>
      <c r="AC54" s="35"/>
      <c r="AD54" s="34"/>
      <c r="AE54" s="35"/>
      <c r="AF54" s="34"/>
      <c r="AG54" s="35"/>
      <c r="AH54" s="34"/>
      <c r="AI54" s="35"/>
      <c r="AJ54" s="34"/>
      <c r="AK54" s="35"/>
      <c r="AL54" s="34"/>
      <c r="AM54" s="35"/>
      <c r="AN54" s="34"/>
      <c r="AO54" s="35"/>
      <c r="AP54" s="34"/>
      <c r="AQ54" s="35"/>
      <c r="AR54" s="34"/>
      <c r="AS54" s="35"/>
      <c r="AT54" s="34"/>
      <c r="AU54" s="35"/>
      <c r="AV54" s="34"/>
      <c r="AW54" s="35"/>
      <c r="AX54" s="34"/>
      <c r="AY54" s="37"/>
      <c r="AZ54" s="100"/>
      <c r="BA54" s="39"/>
      <c r="BB54" s="100"/>
      <c r="BC54" s="39"/>
      <c r="BD54" s="100"/>
      <c r="BE54" s="39"/>
      <c r="BF54" s="100"/>
      <c r="BG54" s="39"/>
      <c r="BH54" s="100"/>
      <c r="BI54" s="39"/>
      <c r="BJ54" s="100"/>
      <c r="BK54" s="39"/>
      <c r="BL54" s="100"/>
      <c r="BM54" s="39"/>
      <c r="BN54" s="100"/>
      <c r="BO54" s="39"/>
      <c r="BP54" s="100"/>
      <c r="BQ54" s="39"/>
      <c r="BR54" s="40" t="str">
        <f t="shared" ref="BR54:BS54" si="105">SUM('Oct 24:Sept 25'!BR54)</f>
        <v>#REF!</v>
      </c>
      <c r="BS54" s="41" t="str">
        <f t="shared" si="105"/>
        <v>#REF!</v>
      </c>
      <c r="BT54" s="42"/>
      <c r="BU54" s="42"/>
      <c r="BV54" s="155" t="str">
        <f t="shared" si="5"/>
        <v>#REF!</v>
      </c>
      <c r="BW54" s="156" t="str">
        <f t="shared" si="6"/>
        <v>#REF!</v>
      </c>
      <c r="BX54" s="157" t="str">
        <f t="shared" si="7"/>
        <v>#REF!</v>
      </c>
    </row>
    <row r="55" ht="12.0" customHeight="1">
      <c r="A55" s="101"/>
      <c r="B55" s="29"/>
      <c r="C55" s="30"/>
      <c r="D55" s="33" t="str">
        <f t="shared" ref="D55:E55" si="106">SUM('Oct 24:Sept 25'!D55)</f>
        <v>#REF!</v>
      </c>
      <c r="E55" s="154" t="str">
        <f t="shared" si="106"/>
        <v>#REF!</v>
      </c>
      <c r="F55" s="31"/>
      <c r="G55" s="32"/>
      <c r="H55" s="31"/>
      <c r="I55" s="32"/>
      <c r="J55" s="31"/>
      <c r="K55" s="32"/>
      <c r="L55" s="31"/>
      <c r="M55" s="32"/>
      <c r="N55" s="31"/>
      <c r="O55" s="32"/>
      <c r="P55" s="31"/>
      <c r="Q55" s="32"/>
      <c r="R55" s="31"/>
      <c r="S55" s="32"/>
      <c r="T55" s="31"/>
      <c r="U55" s="32"/>
      <c r="V55" s="31"/>
      <c r="W55" s="32"/>
      <c r="X55" s="34"/>
      <c r="Y55" s="35"/>
      <c r="Z55" s="34"/>
      <c r="AA55" s="35"/>
      <c r="AB55" s="34"/>
      <c r="AC55" s="35"/>
      <c r="AD55" s="34"/>
      <c r="AE55" s="35"/>
      <c r="AF55" s="34"/>
      <c r="AG55" s="35"/>
      <c r="AH55" s="34"/>
      <c r="AI55" s="35"/>
      <c r="AJ55" s="34"/>
      <c r="AK55" s="35"/>
      <c r="AL55" s="34"/>
      <c r="AM55" s="35"/>
      <c r="AN55" s="34"/>
      <c r="AO55" s="35"/>
      <c r="AP55" s="34"/>
      <c r="AQ55" s="35"/>
      <c r="AR55" s="34"/>
      <c r="AS55" s="35"/>
      <c r="AT55" s="34"/>
      <c r="AU55" s="35"/>
      <c r="AV55" s="34"/>
      <c r="AW55" s="35"/>
      <c r="AX55" s="34"/>
      <c r="AY55" s="37"/>
      <c r="AZ55" s="100"/>
      <c r="BA55" s="39"/>
      <c r="BB55" s="100"/>
      <c r="BC55" s="39"/>
      <c r="BD55" s="100"/>
      <c r="BE55" s="39"/>
      <c r="BF55" s="100"/>
      <c r="BG55" s="39"/>
      <c r="BH55" s="100"/>
      <c r="BI55" s="39"/>
      <c r="BJ55" s="100"/>
      <c r="BK55" s="39"/>
      <c r="BL55" s="100"/>
      <c r="BM55" s="39"/>
      <c r="BN55" s="100"/>
      <c r="BO55" s="39"/>
      <c r="BP55" s="100"/>
      <c r="BQ55" s="39"/>
      <c r="BR55" s="40" t="str">
        <f t="shared" ref="BR55:BS55" si="107">SUM('Oct 24:Sept 25'!BR55)</f>
        <v>#REF!</v>
      </c>
      <c r="BS55" s="41" t="str">
        <f t="shared" si="107"/>
        <v>#REF!</v>
      </c>
      <c r="BT55" s="42"/>
      <c r="BU55" s="42"/>
      <c r="BV55" s="155" t="str">
        <f t="shared" si="5"/>
        <v>#REF!</v>
      </c>
      <c r="BW55" s="156" t="str">
        <f t="shared" si="6"/>
        <v>#REF!</v>
      </c>
      <c r="BX55" s="157" t="str">
        <f t="shared" si="7"/>
        <v>#REF!</v>
      </c>
    </row>
    <row r="56" ht="12.0" customHeight="1">
      <c r="A56" s="101"/>
      <c r="B56" s="29"/>
      <c r="C56" s="30"/>
      <c r="D56" s="33" t="str">
        <f t="shared" ref="D56:E56" si="108">SUM('Oct 24:Sept 25'!D56)</f>
        <v>#REF!</v>
      </c>
      <c r="E56" s="154" t="str">
        <f t="shared" si="108"/>
        <v>#REF!</v>
      </c>
      <c r="F56" s="31"/>
      <c r="G56" s="32"/>
      <c r="H56" s="31"/>
      <c r="I56" s="32"/>
      <c r="J56" s="31"/>
      <c r="K56" s="32"/>
      <c r="L56" s="31"/>
      <c r="M56" s="32"/>
      <c r="N56" s="31"/>
      <c r="O56" s="32"/>
      <c r="P56" s="31"/>
      <c r="Q56" s="32"/>
      <c r="R56" s="31"/>
      <c r="S56" s="32"/>
      <c r="T56" s="31"/>
      <c r="U56" s="32"/>
      <c r="V56" s="31"/>
      <c r="W56" s="32"/>
      <c r="X56" s="34"/>
      <c r="Y56" s="35"/>
      <c r="Z56" s="34"/>
      <c r="AA56" s="35"/>
      <c r="AB56" s="34"/>
      <c r="AC56" s="35"/>
      <c r="AD56" s="34"/>
      <c r="AE56" s="35"/>
      <c r="AF56" s="34"/>
      <c r="AG56" s="35"/>
      <c r="AH56" s="34"/>
      <c r="AI56" s="35"/>
      <c r="AJ56" s="34"/>
      <c r="AK56" s="35"/>
      <c r="AL56" s="34"/>
      <c r="AM56" s="35"/>
      <c r="AN56" s="34"/>
      <c r="AO56" s="35"/>
      <c r="AP56" s="34"/>
      <c r="AQ56" s="35"/>
      <c r="AR56" s="34"/>
      <c r="AS56" s="35"/>
      <c r="AT56" s="34"/>
      <c r="AU56" s="35"/>
      <c r="AV56" s="34"/>
      <c r="AW56" s="35"/>
      <c r="AX56" s="34"/>
      <c r="AY56" s="37"/>
      <c r="AZ56" s="100"/>
      <c r="BA56" s="39"/>
      <c r="BB56" s="100"/>
      <c r="BC56" s="39"/>
      <c r="BD56" s="100"/>
      <c r="BE56" s="39"/>
      <c r="BF56" s="100"/>
      <c r="BG56" s="39"/>
      <c r="BH56" s="100"/>
      <c r="BI56" s="39"/>
      <c r="BJ56" s="100"/>
      <c r="BK56" s="39"/>
      <c r="BL56" s="100"/>
      <c r="BM56" s="39"/>
      <c r="BN56" s="100"/>
      <c r="BO56" s="39"/>
      <c r="BP56" s="100"/>
      <c r="BQ56" s="39"/>
      <c r="BR56" s="40" t="str">
        <f t="shared" ref="BR56:BS56" si="109">SUM('Oct 24:Sept 25'!BR56)</f>
        <v>#REF!</v>
      </c>
      <c r="BS56" s="41" t="str">
        <f t="shared" si="109"/>
        <v>#REF!</v>
      </c>
      <c r="BT56" s="42"/>
      <c r="BU56" s="42"/>
      <c r="BV56" s="155" t="str">
        <f t="shared" si="5"/>
        <v>#REF!</v>
      </c>
      <c r="BW56" s="156" t="str">
        <f t="shared" si="6"/>
        <v>#REF!</v>
      </c>
      <c r="BX56" s="157" t="str">
        <f t="shared" si="7"/>
        <v>#REF!</v>
      </c>
    </row>
    <row r="57" ht="12.0" customHeight="1">
      <c r="A57" s="101"/>
      <c r="B57" s="29"/>
      <c r="C57" s="30"/>
      <c r="D57" s="33" t="str">
        <f t="shared" ref="D57:E57" si="110">SUM('Oct 24:Sept 25'!D57)</f>
        <v>#REF!</v>
      </c>
      <c r="E57" s="154" t="str">
        <f t="shared" si="110"/>
        <v>#REF!</v>
      </c>
      <c r="F57" s="31"/>
      <c r="G57" s="32"/>
      <c r="H57" s="31"/>
      <c r="I57" s="32"/>
      <c r="J57" s="31"/>
      <c r="K57" s="32"/>
      <c r="L57" s="31"/>
      <c r="M57" s="32"/>
      <c r="N57" s="31"/>
      <c r="O57" s="32"/>
      <c r="P57" s="31"/>
      <c r="Q57" s="32"/>
      <c r="R57" s="31"/>
      <c r="S57" s="32"/>
      <c r="T57" s="31"/>
      <c r="U57" s="32"/>
      <c r="V57" s="31"/>
      <c r="W57" s="32"/>
      <c r="X57" s="34"/>
      <c r="Y57" s="35"/>
      <c r="Z57" s="34"/>
      <c r="AA57" s="35"/>
      <c r="AB57" s="34"/>
      <c r="AC57" s="35"/>
      <c r="AD57" s="34"/>
      <c r="AE57" s="35"/>
      <c r="AF57" s="34"/>
      <c r="AG57" s="35"/>
      <c r="AH57" s="34"/>
      <c r="AI57" s="35"/>
      <c r="AJ57" s="34"/>
      <c r="AK57" s="35"/>
      <c r="AL57" s="34"/>
      <c r="AM57" s="35"/>
      <c r="AN57" s="34"/>
      <c r="AO57" s="35"/>
      <c r="AP57" s="34"/>
      <c r="AQ57" s="35"/>
      <c r="AR57" s="34"/>
      <c r="AS57" s="35"/>
      <c r="AT57" s="34"/>
      <c r="AU57" s="35"/>
      <c r="AV57" s="34"/>
      <c r="AW57" s="35"/>
      <c r="AX57" s="34"/>
      <c r="AY57" s="37"/>
      <c r="AZ57" s="100"/>
      <c r="BA57" s="39"/>
      <c r="BB57" s="100"/>
      <c r="BC57" s="39"/>
      <c r="BD57" s="100"/>
      <c r="BE57" s="39"/>
      <c r="BF57" s="100"/>
      <c r="BG57" s="39"/>
      <c r="BH57" s="100"/>
      <c r="BI57" s="39"/>
      <c r="BJ57" s="100"/>
      <c r="BK57" s="39"/>
      <c r="BL57" s="100"/>
      <c r="BM57" s="39"/>
      <c r="BN57" s="100"/>
      <c r="BO57" s="39"/>
      <c r="BP57" s="100"/>
      <c r="BQ57" s="39"/>
      <c r="BR57" s="40" t="str">
        <f t="shared" ref="BR57:BS57" si="111">SUM('Oct 24:Sept 25'!BR57)</f>
        <v>#REF!</v>
      </c>
      <c r="BS57" s="41" t="str">
        <f t="shared" si="111"/>
        <v>#REF!</v>
      </c>
      <c r="BT57" s="42"/>
      <c r="BU57" s="42"/>
      <c r="BV57" s="155" t="str">
        <f t="shared" si="5"/>
        <v>#REF!</v>
      </c>
      <c r="BW57" s="156" t="str">
        <f t="shared" si="6"/>
        <v>#REF!</v>
      </c>
      <c r="BX57" s="157" t="str">
        <f t="shared" si="7"/>
        <v>#REF!</v>
      </c>
    </row>
    <row r="58" ht="12.0" customHeight="1">
      <c r="A58" s="101"/>
      <c r="B58" s="29"/>
      <c r="C58" s="30"/>
      <c r="D58" s="33" t="str">
        <f t="shared" ref="D58:E58" si="112">SUM('Oct 24:Sept 25'!D58)</f>
        <v>#REF!</v>
      </c>
      <c r="E58" s="154" t="str">
        <f t="shared" si="112"/>
        <v>#REF!</v>
      </c>
      <c r="F58" s="31"/>
      <c r="G58" s="32"/>
      <c r="H58" s="31"/>
      <c r="I58" s="32"/>
      <c r="J58" s="31"/>
      <c r="K58" s="32"/>
      <c r="L58" s="31"/>
      <c r="M58" s="32"/>
      <c r="N58" s="31"/>
      <c r="O58" s="32"/>
      <c r="P58" s="31"/>
      <c r="Q58" s="32"/>
      <c r="R58" s="31"/>
      <c r="S58" s="32"/>
      <c r="T58" s="31"/>
      <c r="U58" s="32"/>
      <c r="V58" s="31"/>
      <c r="W58" s="32"/>
      <c r="X58" s="34"/>
      <c r="Y58" s="35"/>
      <c r="Z58" s="34"/>
      <c r="AA58" s="35"/>
      <c r="AB58" s="34"/>
      <c r="AC58" s="35"/>
      <c r="AD58" s="34"/>
      <c r="AE58" s="35"/>
      <c r="AF58" s="34"/>
      <c r="AG58" s="35"/>
      <c r="AH58" s="34"/>
      <c r="AI58" s="35"/>
      <c r="AJ58" s="34"/>
      <c r="AK58" s="35"/>
      <c r="AL58" s="34"/>
      <c r="AM58" s="35"/>
      <c r="AN58" s="34"/>
      <c r="AO58" s="35"/>
      <c r="AP58" s="34"/>
      <c r="AQ58" s="35"/>
      <c r="AR58" s="34"/>
      <c r="AS58" s="35"/>
      <c r="AT58" s="34"/>
      <c r="AU58" s="35"/>
      <c r="AV58" s="34"/>
      <c r="AW58" s="35"/>
      <c r="AX58" s="34"/>
      <c r="AY58" s="37"/>
      <c r="AZ58" s="100"/>
      <c r="BA58" s="39"/>
      <c r="BB58" s="100"/>
      <c r="BC58" s="39"/>
      <c r="BD58" s="100"/>
      <c r="BE58" s="39"/>
      <c r="BF58" s="100"/>
      <c r="BG58" s="39"/>
      <c r="BH58" s="100"/>
      <c r="BI58" s="39"/>
      <c r="BJ58" s="100"/>
      <c r="BK58" s="39"/>
      <c r="BL58" s="100"/>
      <c r="BM58" s="39"/>
      <c r="BN58" s="100"/>
      <c r="BO58" s="39"/>
      <c r="BP58" s="100"/>
      <c r="BQ58" s="39"/>
      <c r="BR58" s="40" t="str">
        <f t="shared" ref="BR58:BS58" si="113">SUM('Oct 24:Sept 25'!BR58)</f>
        <v>#REF!</v>
      </c>
      <c r="BS58" s="41" t="str">
        <f t="shared" si="113"/>
        <v>#REF!</v>
      </c>
      <c r="BT58" s="42"/>
      <c r="BU58" s="42"/>
      <c r="BV58" s="155" t="str">
        <f t="shared" si="5"/>
        <v>#REF!</v>
      </c>
      <c r="BW58" s="156" t="str">
        <f t="shared" si="6"/>
        <v>#REF!</v>
      </c>
      <c r="BX58" s="157" t="str">
        <f t="shared" si="7"/>
        <v>#REF!</v>
      </c>
    </row>
    <row r="59" ht="12.0" customHeight="1">
      <c r="A59" s="101"/>
      <c r="B59" s="29"/>
      <c r="C59" s="30"/>
      <c r="D59" s="33" t="str">
        <f t="shared" ref="D59:E59" si="114">SUM('Oct 24:Sept 25'!D59)</f>
        <v>#REF!</v>
      </c>
      <c r="E59" s="154" t="str">
        <f t="shared" si="114"/>
        <v>#REF!</v>
      </c>
      <c r="F59" s="31"/>
      <c r="G59" s="32"/>
      <c r="H59" s="31"/>
      <c r="I59" s="32"/>
      <c r="J59" s="31"/>
      <c r="K59" s="32"/>
      <c r="L59" s="31"/>
      <c r="M59" s="32"/>
      <c r="N59" s="31"/>
      <c r="O59" s="32"/>
      <c r="P59" s="31"/>
      <c r="Q59" s="32"/>
      <c r="R59" s="31"/>
      <c r="S59" s="32"/>
      <c r="T59" s="31"/>
      <c r="U59" s="32"/>
      <c r="V59" s="31"/>
      <c r="W59" s="32"/>
      <c r="X59" s="34"/>
      <c r="Y59" s="35"/>
      <c r="Z59" s="34"/>
      <c r="AA59" s="35"/>
      <c r="AB59" s="34"/>
      <c r="AC59" s="35"/>
      <c r="AD59" s="34"/>
      <c r="AE59" s="35"/>
      <c r="AF59" s="34"/>
      <c r="AG59" s="35"/>
      <c r="AH59" s="34"/>
      <c r="AI59" s="35"/>
      <c r="AJ59" s="34"/>
      <c r="AK59" s="35"/>
      <c r="AL59" s="34"/>
      <c r="AM59" s="35"/>
      <c r="AN59" s="34"/>
      <c r="AO59" s="35"/>
      <c r="AP59" s="34"/>
      <c r="AQ59" s="35"/>
      <c r="AR59" s="34"/>
      <c r="AS59" s="35"/>
      <c r="AT59" s="34"/>
      <c r="AU59" s="35"/>
      <c r="AV59" s="34"/>
      <c r="AW59" s="35"/>
      <c r="AX59" s="34"/>
      <c r="AY59" s="37"/>
      <c r="AZ59" s="100"/>
      <c r="BA59" s="39"/>
      <c r="BB59" s="100"/>
      <c r="BC59" s="39"/>
      <c r="BD59" s="100"/>
      <c r="BE59" s="39"/>
      <c r="BF59" s="100"/>
      <c r="BG59" s="39"/>
      <c r="BH59" s="100"/>
      <c r="BI59" s="39"/>
      <c r="BJ59" s="100"/>
      <c r="BK59" s="39"/>
      <c r="BL59" s="100"/>
      <c r="BM59" s="39"/>
      <c r="BN59" s="100"/>
      <c r="BO59" s="39"/>
      <c r="BP59" s="100"/>
      <c r="BQ59" s="39"/>
      <c r="BR59" s="40" t="str">
        <f t="shared" ref="BR59:BS59" si="115">SUM('Oct 24:Sept 25'!BR59)</f>
        <v>#REF!</v>
      </c>
      <c r="BS59" s="41" t="str">
        <f t="shared" si="115"/>
        <v>#REF!</v>
      </c>
      <c r="BT59" s="42"/>
      <c r="BU59" s="42"/>
      <c r="BV59" s="155" t="str">
        <f t="shared" si="5"/>
        <v>#REF!</v>
      </c>
      <c r="BW59" s="156" t="str">
        <f t="shared" si="6"/>
        <v>#REF!</v>
      </c>
      <c r="BX59" s="157" t="str">
        <f t="shared" si="7"/>
        <v>#REF!</v>
      </c>
    </row>
    <row r="60" ht="12.0" customHeight="1">
      <c r="A60" s="101"/>
      <c r="B60" s="29"/>
      <c r="C60" s="30"/>
      <c r="D60" s="33" t="str">
        <f t="shared" ref="D60:E60" si="116">SUM('Oct 24:Sept 25'!D60)</f>
        <v>#REF!</v>
      </c>
      <c r="E60" s="154" t="str">
        <f t="shared" si="116"/>
        <v>#REF!</v>
      </c>
      <c r="F60" s="31"/>
      <c r="G60" s="32"/>
      <c r="H60" s="31"/>
      <c r="I60" s="32"/>
      <c r="J60" s="31"/>
      <c r="K60" s="32"/>
      <c r="L60" s="31"/>
      <c r="M60" s="32"/>
      <c r="N60" s="31"/>
      <c r="O60" s="32"/>
      <c r="P60" s="31"/>
      <c r="Q60" s="32"/>
      <c r="R60" s="31"/>
      <c r="S60" s="32"/>
      <c r="T60" s="31"/>
      <c r="U60" s="32"/>
      <c r="V60" s="31"/>
      <c r="W60" s="32"/>
      <c r="X60" s="34"/>
      <c r="Y60" s="35"/>
      <c r="Z60" s="34"/>
      <c r="AA60" s="35"/>
      <c r="AB60" s="34"/>
      <c r="AC60" s="35"/>
      <c r="AD60" s="34"/>
      <c r="AE60" s="35"/>
      <c r="AF60" s="34"/>
      <c r="AG60" s="35"/>
      <c r="AH60" s="34"/>
      <c r="AI60" s="35"/>
      <c r="AJ60" s="34"/>
      <c r="AK60" s="35"/>
      <c r="AL60" s="34"/>
      <c r="AM60" s="35"/>
      <c r="AN60" s="34"/>
      <c r="AO60" s="35"/>
      <c r="AP60" s="34"/>
      <c r="AQ60" s="35"/>
      <c r="AR60" s="34"/>
      <c r="AS60" s="35"/>
      <c r="AT60" s="34"/>
      <c r="AU60" s="35"/>
      <c r="AV60" s="34"/>
      <c r="AW60" s="35"/>
      <c r="AX60" s="34"/>
      <c r="AY60" s="37"/>
      <c r="AZ60" s="100"/>
      <c r="BA60" s="39"/>
      <c r="BB60" s="100"/>
      <c r="BC60" s="39"/>
      <c r="BD60" s="100"/>
      <c r="BE60" s="39"/>
      <c r="BF60" s="100"/>
      <c r="BG60" s="39"/>
      <c r="BH60" s="100"/>
      <c r="BI60" s="39"/>
      <c r="BJ60" s="100"/>
      <c r="BK60" s="39"/>
      <c r="BL60" s="100"/>
      <c r="BM60" s="39"/>
      <c r="BN60" s="100"/>
      <c r="BO60" s="39"/>
      <c r="BP60" s="100"/>
      <c r="BQ60" s="39"/>
      <c r="BR60" s="40" t="str">
        <f t="shared" ref="BR60:BS60" si="117">SUM('Oct 24:Sept 25'!BR60)</f>
        <v>#REF!</v>
      </c>
      <c r="BS60" s="41" t="str">
        <f t="shared" si="117"/>
        <v>#REF!</v>
      </c>
      <c r="BT60" s="42"/>
      <c r="BU60" s="42"/>
      <c r="BV60" s="155" t="str">
        <f t="shared" si="5"/>
        <v>#REF!</v>
      </c>
      <c r="BW60" s="156" t="str">
        <f t="shared" si="6"/>
        <v>#REF!</v>
      </c>
      <c r="BX60" s="157" t="str">
        <f t="shared" si="7"/>
        <v>#REF!</v>
      </c>
    </row>
    <row r="61" ht="12.0" customHeight="1">
      <c r="A61" s="101"/>
      <c r="B61" s="29"/>
      <c r="C61" s="30"/>
      <c r="D61" s="33" t="str">
        <f t="shared" ref="D61:E61" si="118">SUM('Oct 24:Sept 25'!D61)</f>
        <v>#REF!</v>
      </c>
      <c r="E61" s="154" t="str">
        <f t="shared" si="118"/>
        <v>#REF!</v>
      </c>
      <c r="F61" s="31"/>
      <c r="G61" s="32"/>
      <c r="H61" s="31"/>
      <c r="I61" s="32"/>
      <c r="J61" s="31"/>
      <c r="K61" s="32"/>
      <c r="L61" s="31"/>
      <c r="M61" s="32"/>
      <c r="N61" s="31"/>
      <c r="O61" s="32"/>
      <c r="P61" s="31"/>
      <c r="Q61" s="32"/>
      <c r="R61" s="31"/>
      <c r="S61" s="32"/>
      <c r="T61" s="31"/>
      <c r="U61" s="32"/>
      <c r="V61" s="31"/>
      <c r="W61" s="32"/>
      <c r="X61" s="34"/>
      <c r="Y61" s="35"/>
      <c r="Z61" s="34"/>
      <c r="AA61" s="35"/>
      <c r="AB61" s="34"/>
      <c r="AC61" s="35"/>
      <c r="AD61" s="34"/>
      <c r="AE61" s="35"/>
      <c r="AF61" s="34"/>
      <c r="AG61" s="35"/>
      <c r="AH61" s="34"/>
      <c r="AI61" s="35"/>
      <c r="AJ61" s="34"/>
      <c r="AK61" s="35"/>
      <c r="AL61" s="34"/>
      <c r="AM61" s="35"/>
      <c r="AN61" s="34"/>
      <c r="AO61" s="35"/>
      <c r="AP61" s="34"/>
      <c r="AQ61" s="35"/>
      <c r="AR61" s="34"/>
      <c r="AS61" s="35"/>
      <c r="AT61" s="34"/>
      <c r="AU61" s="35"/>
      <c r="AV61" s="34"/>
      <c r="AW61" s="35"/>
      <c r="AX61" s="34"/>
      <c r="AY61" s="37"/>
      <c r="AZ61" s="100"/>
      <c r="BA61" s="39"/>
      <c r="BB61" s="100"/>
      <c r="BC61" s="39"/>
      <c r="BD61" s="100"/>
      <c r="BE61" s="39"/>
      <c r="BF61" s="100"/>
      <c r="BG61" s="39"/>
      <c r="BH61" s="100"/>
      <c r="BI61" s="39"/>
      <c r="BJ61" s="100"/>
      <c r="BK61" s="39"/>
      <c r="BL61" s="100"/>
      <c r="BM61" s="39"/>
      <c r="BN61" s="100"/>
      <c r="BO61" s="39"/>
      <c r="BP61" s="100"/>
      <c r="BQ61" s="39"/>
      <c r="BR61" s="40" t="str">
        <f t="shared" ref="BR61:BS61" si="119">SUM('Oct 24:Sept 25'!BR61)</f>
        <v>#REF!</v>
      </c>
      <c r="BS61" s="41" t="str">
        <f t="shared" si="119"/>
        <v>#REF!</v>
      </c>
      <c r="BT61" s="42"/>
      <c r="BU61" s="42"/>
      <c r="BV61" s="155" t="str">
        <f t="shared" si="5"/>
        <v>#REF!</v>
      </c>
      <c r="BW61" s="156" t="str">
        <f t="shared" si="6"/>
        <v>#REF!</v>
      </c>
      <c r="BX61" s="157" t="str">
        <f t="shared" si="7"/>
        <v>#REF!</v>
      </c>
    </row>
    <row r="62" ht="12.0" customHeight="1">
      <c r="A62" s="101"/>
      <c r="B62" s="29"/>
      <c r="C62" s="30"/>
      <c r="D62" s="33" t="str">
        <f t="shared" ref="D62:E62" si="120">SUM('Oct 24:Sept 25'!D62)</f>
        <v>#REF!</v>
      </c>
      <c r="E62" s="154" t="str">
        <f t="shared" si="120"/>
        <v>#REF!</v>
      </c>
      <c r="F62" s="31"/>
      <c r="G62" s="32"/>
      <c r="H62" s="31"/>
      <c r="I62" s="32"/>
      <c r="J62" s="31"/>
      <c r="K62" s="32"/>
      <c r="L62" s="31"/>
      <c r="M62" s="32"/>
      <c r="N62" s="31"/>
      <c r="O62" s="32"/>
      <c r="P62" s="31"/>
      <c r="Q62" s="32"/>
      <c r="R62" s="31"/>
      <c r="S62" s="32"/>
      <c r="T62" s="31"/>
      <c r="U62" s="32"/>
      <c r="V62" s="31"/>
      <c r="W62" s="32"/>
      <c r="X62" s="34"/>
      <c r="Y62" s="35"/>
      <c r="Z62" s="34"/>
      <c r="AA62" s="35"/>
      <c r="AB62" s="34"/>
      <c r="AC62" s="35"/>
      <c r="AD62" s="34"/>
      <c r="AE62" s="35"/>
      <c r="AF62" s="34"/>
      <c r="AG62" s="35"/>
      <c r="AH62" s="34"/>
      <c r="AI62" s="35"/>
      <c r="AJ62" s="34"/>
      <c r="AK62" s="35"/>
      <c r="AL62" s="34"/>
      <c r="AM62" s="35"/>
      <c r="AN62" s="34"/>
      <c r="AO62" s="35"/>
      <c r="AP62" s="34"/>
      <c r="AQ62" s="35"/>
      <c r="AR62" s="34"/>
      <c r="AS62" s="35"/>
      <c r="AT62" s="34"/>
      <c r="AU62" s="35"/>
      <c r="AV62" s="34"/>
      <c r="AW62" s="35"/>
      <c r="AX62" s="34"/>
      <c r="AY62" s="37"/>
      <c r="AZ62" s="100"/>
      <c r="BA62" s="39"/>
      <c r="BB62" s="100"/>
      <c r="BC62" s="39"/>
      <c r="BD62" s="100"/>
      <c r="BE62" s="39"/>
      <c r="BF62" s="100"/>
      <c r="BG62" s="39"/>
      <c r="BH62" s="100"/>
      <c r="BI62" s="39"/>
      <c r="BJ62" s="100"/>
      <c r="BK62" s="39"/>
      <c r="BL62" s="100"/>
      <c r="BM62" s="39"/>
      <c r="BN62" s="100"/>
      <c r="BO62" s="39"/>
      <c r="BP62" s="100"/>
      <c r="BQ62" s="39"/>
      <c r="BR62" s="40" t="str">
        <f t="shared" ref="BR62:BS62" si="121">SUM('Oct 24:Sept 25'!BR62)</f>
        <v>#REF!</v>
      </c>
      <c r="BS62" s="41" t="str">
        <f t="shared" si="121"/>
        <v>#REF!</v>
      </c>
      <c r="BT62" s="42"/>
      <c r="BU62" s="42"/>
      <c r="BV62" s="155" t="str">
        <f t="shared" si="5"/>
        <v>#REF!</v>
      </c>
      <c r="BW62" s="156" t="str">
        <f t="shared" si="6"/>
        <v>#REF!</v>
      </c>
      <c r="BX62" s="157" t="str">
        <f t="shared" si="7"/>
        <v>#REF!</v>
      </c>
    </row>
    <row r="63" ht="12.0" customHeight="1">
      <c r="A63" s="101"/>
      <c r="B63" s="29"/>
      <c r="C63" s="30"/>
      <c r="D63" s="33" t="str">
        <f t="shared" ref="D63:E63" si="122">SUM('Oct 24:Sept 25'!D63)</f>
        <v>#REF!</v>
      </c>
      <c r="E63" s="154" t="str">
        <f t="shared" si="122"/>
        <v>#REF!</v>
      </c>
      <c r="F63" s="31"/>
      <c r="G63" s="32"/>
      <c r="H63" s="31"/>
      <c r="I63" s="32"/>
      <c r="J63" s="31"/>
      <c r="K63" s="32"/>
      <c r="L63" s="31"/>
      <c r="M63" s="32"/>
      <c r="N63" s="31"/>
      <c r="O63" s="32"/>
      <c r="P63" s="31"/>
      <c r="Q63" s="32"/>
      <c r="R63" s="31"/>
      <c r="S63" s="32"/>
      <c r="T63" s="31"/>
      <c r="U63" s="32"/>
      <c r="V63" s="31"/>
      <c r="W63" s="32"/>
      <c r="X63" s="34"/>
      <c r="Y63" s="35"/>
      <c r="Z63" s="34"/>
      <c r="AA63" s="35"/>
      <c r="AB63" s="34"/>
      <c r="AC63" s="35"/>
      <c r="AD63" s="34"/>
      <c r="AE63" s="35"/>
      <c r="AF63" s="34"/>
      <c r="AG63" s="35"/>
      <c r="AH63" s="34"/>
      <c r="AI63" s="35"/>
      <c r="AJ63" s="34"/>
      <c r="AK63" s="35"/>
      <c r="AL63" s="34"/>
      <c r="AM63" s="35"/>
      <c r="AN63" s="34"/>
      <c r="AO63" s="35"/>
      <c r="AP63" s="34"/>
      <c r="AQ63" s="35"/>
      <c r="AR63" s="34"/>
      <c r="AS63" s="35"/>
      <c r="AT63" s="34"/>
      <c r="AU63" s="35"/>
      <c r="AV63" s="34"/>
      <c r="AW63" s="35"/>
      <c r="AX63" s="34"/>
      <c r="AY63" s="37"/>
      <c r="AZ63" s="100"/>
      <c r="BA63" s="39"/>
      <c r="BB63" s="100"/>
      <c r="BC63" s="39"/>
      <c r="BD63" s="100"/>
      <c r="BE63" s="39"/>
      <c r="BF63" s="100"/>
      <c r="BG63" s="39"/>
      <c r="BH63" s="100"/>
      <c r="BI63" s="39"/>
      <c r="BJ63" s="100"/>
      <c r="BK63" s="39"/>
      <c r="BL63" s="100"/>
      <c r="BM63" s="39"/>
      <c r="BN63" s="100"/>
      <c r="BO63" s="39"/>
      <c r="BP63" s="100"/>
      <c r="BQ63" s="39"/>
      <c r="BR63" s="40" t="str">
        <f t="shared" ref="BR63:BS63" si="123">SUM('Oct 24:Sept 25'!BR63)</f>
        <v>#REF!</v>
      </c>
      <c r="BS63" s="41" t="str">
        <f t="shared" si="123"/>
        <v>#REF!</v>
      </c>
      <c r="BT63" s="42"/>
      <c r="BU63" s="42"/>
      <c r="BV63" s="155" t="str">
        <f t="shared" si="5"/>
        <v>#REF!</v>
      </c>
      <c r="BW63" s="156" t="str">
        <f t="shared" si="6"/>
        <v>#REF!</v>
      </c>
      <c r="BX63" s="157" t="str">
        <f t="shared" si="7"/>
        <v>#REF!</v>
      </c>
    </row>
    <row r="64" ht="12.0" customHeight="1">
      <c r="A64" s="101"/>
      <c r="B64" s="29"/>
      <c r="C64" s="30"/>
      <c r="D64" s="33" t="str">
        <f t="shared" ref="D64:E64" si="124">SUM('Oct 24:Sept 25'!D64)</f>
        <v>#REF!</v>
      </c>
      <c r="E64" s="154" t="str">
        <f t="shared" si="124"/>
        <v>#REF!</v>
      </c>
      <c r="F64" s="31"/>
      <c r="G64" s="32"/>
      <c r="H64" s="31"/>
      <c r="I64" s="32"/>
      <c r="J64" s="31"/>
      <c r="K64" s="32"/>
      <c r="L64" s="31"/>
      <c r="M64" s="32"/>
      <c r="N64" s="31"/>
      <c r="O64" s="32"/>
      <c r="P64" s="31"/>
      <c r="Q64" s="32"/>
      <c r="R64" s="31"/>
      <c r="S64" s="32"/>
      <c r="T64" s="31"/>
      <c r="U64" s="32"/>
      <c r="V64" s="31"/>
      <c r="W64" s="32"/>
      <c r="X64" s="34"/>
      <c r="Y64" s="35"/>
      <c r="Z64" s="34"/>
      <c r="AA64" s="35"/>
      <c r="AB64" s="34"/>
      <c r="AC64" s="35"/>
      <c r="AD64" s="34"/>
      <c r="AE64" s="35"/>
      <c r="AF64" s="34"/>
      <c r="AG64" s="35"/>
      <c r="AH64" s="34"/>
      <c r="AI64" s="35"/>
      <c r="AJ64" s="34"/>
      <c r="AK64" s="35"/>
      <c r="AL64" s="34"/>
      <c r="AM64" s="35"/>
      <c r="AN64" s="34"/>
      <c r="AO64" s="35"/>
      <c r="AP64" s="34"/>
      <c r="AQ64" s="35"/>
      <c r="AR64" s="34"/>
      <c r="AS64" s="35"/>
      <c r="AT64" s="34"/>
      <c r="AU64" s="35"/>
      <c r="AV64" s="34"/>
      <c r="AW64" s="35"/>
      <c r="AX64" s="34"/>
      <c r="AY64" s="37"/>
      <c r="AZ64" s="100"/>
      <c r="BA64" s="39"/>
      <c r="BB64" s="100"/>
      <c r="BC64" s="39"/>
      <c r="BD64" s="100"/>
      <c r="BE64" s="39"/>
      <c r="BF64" s="100"/>
      <c r="BG64" s="39"/>
      <c r="BH64" s="100"/>
      <c r="BI64" s="39"/>
      <c r="BJ64" s="100"/>
      <c r="BK64" s="39"/>
      <c r="BL64" s="100"/>
      <c r="BM64" s="39"/>
      <c r="BN64" s="100"/>
      <c r="BO64" s="39"/>
      <c r="BP64" s="100"/>
      <c r="BQ64" s="39"/>
      <c r="BR64" s="40" t="str">
        <f t="shared" ref="BR64:BS64" si="125">SUM('Oct 24:Sept 25'!BR64)</f>
        <v>#REF!</v>
      </c>
      <c r="BS64" s="41" t="str">
        <f t="shared" si="125"/>
        <v>#REF!</v>
      </c>
      <c r="BT64" s="42"/>
      <c r="BU64" s="42"/>
      <c r="BV64" s="155" t="str">
        <f t="shared" si="5"/>
        <v>#REF!</v>
      </c>
      <c r="BW64" s="156" t="str">
        <f t="shared" si="6"/>
        <v>#REF!</v>
      </c>
      <c r="BX64" s="157" t="str">
        <f t="shared" si="7"/>
        <v>#REF!</v>
      </c>
    </row>
    <row r="65" ht="12.0" customHeight="1">
      <c r="A65" s="101"/>
      <c r="B65" s="29"/>
      <c r="C65" s="30"/>
      <c r="D65" s="33" t="str">
        <f t="shared" ref="D65:E65" si="126">SUM('Oct 24:Sept 25'!D65)</f>
        <v>#REF!</v>
      </c>
      <c r="E65" s="154" t="str">
        <f t="shared" si="126"/>
        <v>#REF!</v>
      </c>
      <c r="F65" s="31"/>
      <c r="G65" s="32"/>
      <c r="H65" s="31"/>
      <c r="I65" s="32"/>
      <c r="J65" s="31"/>
      <c r="K65" s="32"/>
      <c r="L65" s="31"/>
      <c r="M65" s="32"/>
      <c r="N65" s="31"/>
      <c r="O65" s="32"/>
      <c r="P65" s="31"/>
      <c r="Q65" s="32"/>
      <c r="R65" s="31"/>
      <c r="S65" s="32"/>
      <c r="T65" s="31"/>
      <c r="U65" s="32"/>
      <c r="V65" s="31"/>
      <c r="W65" s="32"/>
      <c r="X65" s="34"/>
      <c r="Y65" s="35"/>
      <c r="Z65" s="34"/>
      <c r="AA65" s="35"/>
      <c r="AB65" s="34"/>
      <c r="AC65" s="35"/>
      <c r="AD65" s="34"/>
      <c r="AE65" s="35"/>
      <c r="AF65" s="34"/>
      <c r="AG65" s="35"/>
      <c r="AH65" s="34"/>
      <c r="AI65" s="35"/>
      <c r="AJ65" s="34"/>
      <c r="AK65" s="35"/>
      <c r="AL65" s="34"/>
      <c r="AM65" s="35"/>
      <c r="AN65" s="34"/>
      <c r="AO65" s="35"/>
      <c r="AP65" s="34"/>
      <c r="AQ65" s="35"/>
      <c r="AR65" s="34"/>
      <c r="AS65" s="35"/>
      <c r="AT65" s="34"/>
      <c r="AU65" s="35"/>
      <c r="AV65" s="34"/>
      <c r="AW65" s="35"/>
      <c r="AX65" s="34"/>
      <c r="AY65" s="37"/>
      <c r="AZ65" s="100"/>
      <c r="BA65" s="39"/>
      <c r="BB65" s="100"/>
      <c r="BC65" s="39"/>
      <c r="BD65" s="100"/>
      <c r="BE65" s="39"/>
      <c r="BF65" s="100"/>
      <c r="BG65" s="39"/>
      <c r="BH65" s="100"/>
      <c r="BI65" s="39"/>
      <c r="BJ65" s="100"/>
      <c r="BK65" s="39"/>
      <c r="BL65" s="100"/>
      <c r="BM65" s="39"/>
      <c r="BN65" s="100"/>
      <c r="BO65" s="39"/>
      <c r="BP65" s="100"/>
      <c r="BQ65" s="39"/>
      <c r="BR65" s="40" t="str">
        <f t="shared" ref="BR65:BS65" si="127">SUM('Oct 24:Sept 25'!BR65)</f>
        <v>#REF!</v>
      </c>
      <c r="BS65" s="41" t="str">
        <f t="shared" si="127"/>
        <v>#REF!</v>
      </c>
      <c r="BT65" s="42"/>
      <c r="BU65" s="42"/>
      <c r="BV65" s="155" t="str">
        <f t="shared" si="5"/>
        <v>#REF!</v>
      </c>
      <c r="BW65" s="156" t="str">
        <f t="shared" si="6"/>
        <v>#REF!</v>
      </c>
      <c r="BX65" s="157" t="str">
        <f t="shared" si="7"/>
        <v>#REF!</v>
      </c>
    </row>
    <row r="66" ht="12.0" customHeight="1">
      <c r="A66" s="101"/>
      <c r="B66" s="29"/>
      <c r="C66" s="30"/>
      <c r="D66" s="33" t="str">
        <f t="shared" ref="D66:E66" si="128">SUM('Oct 24:Sept 25'!D66)</f>
        <v>#REF!</v>
      </c>
      <c r="E66" s="154" t="str">
        <f t="shared" si="128"/>
        <v>#REF!</v>
      </c>
      <c r="F66" s="31"/>
      <c r="G66" s="32"/>
      <c r="H66" s="31"/>
      <c r="I66" s="32"/>
      <c r="J66" s="31"/>
      <c r="K66" s="32"/>
      <c r="L66" s="31"/>
      <c r="M66" s="32"/>
      <c r="N66" s="31"/>
      <c r="O66" s="32"/>
      <c r="P66" s="31"/>
      <c r="Q66" s="32"/>
      <c r="R66" s="31"/>
      <c r="S66" s="32"/>
      <c r="T66" s="31"/>
      <c r="U66" s="32"/>
      <c r="V66" s="31"/>
      <c r="W66" s="32"/>
      <c r="X66" s="34"/>
      <c r="Y66" s="35"/>
      <c r="Z66" s="34"/>
      <c r="AA66" s="35"/>
      <c r="AB66" s="34"/>
      <c r="AC66" s="35"/>
      <c r="AD66" s="34"/>
      <c r="AE66" s="35"/>
      <c r="AF66" s="34"/>
      <c r="AG66" s="35"/>
      <c r="AH66" s="34"/>
      <c r="AI66" s="35"/>
      <c r="AJ66" s="34"/>
      <c r="AK66" s="35"/>
      <c r="AL66" s="34"/>
      <c r="AM66" s="35"/>
      <c r="AN66" s="34"/>
      <c r="AO66" s="35"/>
      <c r="AP66" s="34"/>
      <c r="AQ66" s="35"/>
      <c r="AR66" s="34"/>
      <c r="AS66" s="35"/>
      <c r="AT66" s="34"/>
      <c r="AU66" s="35"/>
      <c r="AV66" s="34"/>
      <c r="AW66" s="35"/>
      <c r="AX66" s="34"/>
      <c r="AY66" s="37"/>
      <c r="AZ66" s="100"/>
      <c r="BA66" s="39"/>
      <c r="BB66" s="100"/>
      <c r="BC66" s="39"/>
      <c r="BD66" s="100"/>
      <c r="BE66" s="39"/>
      <c r="BF66" s="100"/>
      <c r="BG66" s="39"/>
      <c r="BH66" s="100"/>
      <c r="BI66" s="39"/>
      <c r="BJ66" s="100"/>
      <c r="BK66" s="39"/>
      <c r="BL66" s="100"/>
      <c r="BM66" s="39"/>
      <c r="BN66" s="100"/>
      <c r="BO66" s="39"/>
      <c r="BP66" s="100"/>
      <c r="BQ66" s="39"/>
      <c r="BR66" s="40" t="str">
        <f t="shared" ref="BR66:BS66" si="129">SUM('Oct 24:Sept 25'!BR66)</f>
        <v>#REF!</v>
      </c>
      <c r="BS66" s="41" t="str">
        <f t="shared" si="129"/>
        <v>#REF!</v>
      </c>
      <c r="BT66" s="42"/>
      <c r="BU66" s="42"/>
      <c r="BV66" s="155" t="str">
        <f t="shared" si="5"/>
        <v>#REF!</v>
      </c>
      <c r="BW66" s="156" t="str">
        <f t="shared" si="6"/>
        <v>#REF!</v>
      </c>
      <c r="BX66" s="157" t="str">
        <f t="shared" si="7"/>
        <v>#REF!</v>
      </c>
    </row>
    <row r="67" ht="12.0" customHeight="1">
      <c r="A67" s="101"/>
      <c r="B67" s="29"/>
      <c r="C67" s="30"/>
      <c r="D67" s="33" t="str">
        <f t="shared" ref="D67:E67" si="130">SUM('Oct 24:Sept 25'!D67)</f>
        <v>#REF!</v>
      </c>
      <c r="E67" s="154" t="str">
        <f t="shared" si="130"/>
        <v>#REF!</v>
      </c>
      <c r="F67" s="31"/>
      <c r="G67" s="32"/>
      <c r="H67" s="31"/>
      <c r="I67" s="32"/>
      <c r="J67" s="31"/>
      <c r="K67" s="32"/>
      <c r="L67" s="31"/>
      <c r="M67" s="32"/>
      <c r="N67" s="31"/>
      <c r="O67" s="32"/>
      <c r="P67" s="31"/>
      <c r="Q67" s="32"/>
      <c r="R67" s="31"/>
      <c r="S67" s="32"/>
      <c r="T67" s="31"/>
      <c r="U67" s="32"/>
      <c r="V67" s="31"/>
      <c r="W67" s="32"/>
      <c r="X67" s="34"/>
      <c r="Y67" s="35"/>
      <c r="Z67" s="34"/>
      <c r="AA67" s="35"/>
      <c r="AB67" s="34"/>
      <c r="AC67" s="35"/>
      <c r="AD67" s="34"/>
      <c r="AE67" s="35"/>
      <c r="AF67" s="34"/>
      <c r="AG67" s="35"/>
      <c r="AH67" s="34"/>
      <c r="AI67" s="35"/>
      <c r="AJ67" s="34"/>
      <c r="AK67" s="35"/>
      <c r="AL67" s="34"/>
      <c r="AM67" s="35"/>
      <c r="AN67" s="34"/>
      <c r="AO67" s="35"/>
      <c r="AP67" s="34"/>
      <c r="AQ67" s="35"/>
      <c r="AR67" s="34"/>
      <c r="AS67" s="35"/>
      <c r="AT67" s="34"/>
      <c r="AU67" s="35"/>
      <c r="AV67" s="34"/>
      <c r="AW67" s="35"/>
      <c r="AX67" s="34"/>
      <c r="AY67" s="37"/>
      <c r="AZ67" s="100"/>
      <c r="BA67" s="39"/>
      <c r="BB67" s="100"/>
      <c r="BC67" s="39"/>
      <c r="BD67" s="100"/>
      <c r="BE67" s="39"/>
      <c r="BF67" s="100"/>
      <c r="BG67" s="39"/>
      <c r="BH67" s="100"/>
      <c r="BI67" s="39"/>
      <c r="BJ67" s="100"/>
      <c r="BK67" s="39"/>
      <c r="BL67" s="100"/>
      <c r="BM67" s="39"/>
      <c r="BN67" s="100"/>
      <c r="BO67" s="39"/>
      <c r="BP67" s="100"/>
      <c r="BQ67" s="39"/>
      <c r="BR67" s="40" t="str">
        <f t="shared" ref="BR67:BS67" si="131">SUM('Oct 24:Sept 25'!BR67)</f>
        <v>#REF!</v>
      </c>
      <c r="BS67" s="41" t="str">
        <f t="shared" si="131"/>
        <v>#REF!</v>
      </c>
      <c r="BT67" s="42"/>
      <c r="BU67" s="42"/>
      <c r="BV67" s="155" t="str">
        <f t="shared" si="5"/>
        <v>#REF!</v>
      </c>
      <c r="BW67" s="156" t="str">
        <f t="shared" si="6"/>
        <v>#REF!</v>
      </c>
      <c r="BX67" s="157" t="str">
        <f t="shared" si="7"/>
        <v>#REF!</v>
      </c>
    </row>
    <row r="68" ht="12.0" customHeight="1">
      <c r="A68" s="101"/>
      <c r="B68" s="29"/>
      <c r="C68" s="30"/>
      <c r="D68" s="33" t="str">
        <f t="shared" ref="D68:E68" si="132">SUM('Oct 24:Sept 25'!D68)</f>
        <v>#REF!</v>
      </c>
      <c r="E68" s="154" t="str">
        <f t="shared" si="132"/>
        <v>#REF!</v>
      </c>
      <c r="F68" s="31"/>
      <c r="G68" s="32"/>
      <c r="H68" s="31"/>
      <c r="I68" s="32"/>
      <c r="J68" s="31"/>
      <c r="K68" s="32"/>
      <c r="L68" s="31"/>
      <c r="M68" s="32"/>
      <c r="N68" s="31"/>
      <c r="O68" s="32"/>
      <c r="P68" s="31"/>
      <c r="Q68" s="32"/>
      <c r="R68" s="31"/>
      <c r="S68" s="32"/>
      <c r="T68" s="31"/>
      <c r="U68" s="32"/>
      <c r="V68" s="31"/>
      <c r="W68" s="32"/>
      <c r="X68" s="34"/>
      <c r="Y68" s="35"/>
      <c r="Z68" s="34"/>
      <c r="AA68" s="35"/>
      <c r="AB68" s="34"/>
      <c r="AC68" s="35"/>
      <c r="AD68" s="34"/>
      <c r="AE68" s="35"/>
      <c r="AF68" s="34"/>
      <c r="AG68" s="35"/>
      <c r="AH68" s="34"/>
      <c r="AI68" s="35"/>
      <c r="AJ68" s="34"/>
      <c r="AK68" s="35"/>
      <c r="AL68" s="34"/>
      <c r="AM68" s="35"/>
      <c r="AN68" s="34"/>
      <c r="AO68" s="35"/>
      <c r="AP68" s="34"/>
      <c r="AQ68" s="35"/>
      <c r="AR68" s="34"/>
      <c r="AS68" s="35"/>
      <c r="AT68" s="34"/>
      <c r="AU68" s="35"/>
      <c r="AV68" s="34"/>
      <c r="AW68" s="35"/>
      <c r="AX68" s="34"/>
      <c r="AY68" s="37"/>
      <c r="AZ68" s="100"/>
      <c r="BA68" s="39"/>
      <c r="BB68" s="100"/>
      <c r="BC68" s="39"/>
      <c r="BD68" s="100"/>
      <c r="BE68" s="39"/>
      <c r="BF68" s="100"/>
      <c r="BG68" s="39"/>
      <c r="BH68" s="100"/>
      <c r="BI68" s="39"/>
      <c r="BJ68" s="100"/>
      <c r="BK68" s="39"/>
      <c r="BL68" s="100"/>
      <c r="BM68" s="39"/>
      <c r="BN68" s="100"/>
      <c r="BO68" s="39"/>
      <c r="BP68" s="100"/>
      <c r="BQ68" s="39"/>
      <c r="BR68" s="40" t="str">
        <f t="shared" ref="BR68:BS68" si="133">SUM('Oct 24:Sept 25'!BR68)</f>
        <v>#REF!</v>
      </c>
      <c r="BS68" s="41" t="str">
        <f t="shared" si="133"/>
        <v>#REF!</v>
      </c>
      <c r="BT68" s="42"/>
      <c r="BU68" s="42"/>
      <c r="BV68" s="155" t="str">
        <f t="shared" si="5"/>
        <v>#REF!</v>
      </c>
      <c r="BW68" s="156" t="str">
        <f t="shared" si="6"/>
        <v>#REF!</v>
      </c>
      <c r="BX68" s="157" t="str">
        <f t="shared" si="7"/>
        <v>#REF!</v>
      </c>
    </row>
    <row r="69" ht="12.0" customHeight="1">
      <c r="A69" s="101"/>
      <c r="B69" s="29"/>
      <c r="C69" s="30"/>
      <c r="D69" s="33" t="str">
        <f t="shared" ref="D69:E69" si="134">SUM('Oct 24:Sept 25'!D69)</f>
        <v>#REF!</v>
      </c>
      <c r="E69" s="154" t="str">
        <f t="shared" si="134"/>
        <v>#REF!</v>
      </c>
      <c r="F69" s="31"/>
      <c r="G69" s="32"/>
      <c r="H69" s="31"/>
      <c r="I69" s="32"/>
      <c r="J69" s="31"/>
      <c r="K69" s="32"/>
      <c r="L69" s="31"/>
      <c r="M69" s="32"/>
      <c r="N69" s="31"/>
      <c r="O69" s="32"/>
      <c r="P69" s="31"/>
      <c r="Q69" s="32"/>
      <c r="R69" s="31"/>
      <c r="S69" s="32"/>
      <c r="T69" s="31"/>
      <c r="U69" s="32"/>
      <c r="V69" s="31"/>
      <c r="W69" s="32"/>
      <c r="X69" s="34"/>
      <c r="Y69" s="35"/>
      <c r="Z69" s="34"/>
      <c r="AA69" s="35"/>
      <c r="AB69" s="34"/>
      <c r="AC69" s="35"/>
      <c r="AD69" s="34"/>
      <c r="AE69" s="35"/>
      <c r="AF69" s="34"/>
      <c r="AG69" s="35"/>
      <c r="AH69" s="34"/>
      <c r="AI69" s="35"/>
      <c r="AJ69" s="34"/>
      <c r="AK69" s="35"/>
      <c r="AL69" s="34"/>
      <c r="AM69" s="35"/>
      <c r="AN69" s="34"/>
      <c r="AO69" s="35"/>
      <c r="AP69" s="34"/>
      <c r="AQ69" s="35"/>
      <c r="AR69" s="34"/>
      <c r="AS69" s="35"/>
      <c r="AT69" s="34"/>
      <c r="AU69" s="35"/>
      <c r="AV69" s="34"/>
      <c r="AW69" s="35"/>
      <c r="AX69" s="34"/>
      <c r="AY69" s="37"/>
      <c r="AZ69" s="100"/>
      <c r="BA69" s="39"/>
      <c r="BB69" s="100"/>
      <c r="BC69" s="39"/>
      <c r="BD69" s="100"/>
      <c r="BE69" s="39"/>
      <c r="BF69" s="100"/>
      <c r="BG69" s="39"/>
      <c r="BH69" s="100"/>
      <c r="BI69" s="39"/>
      <c r="BJ69" s="100"/>
      <c r="BK69" s="39"/>
      <c r="BL69" s="100"/>
      <c r="BM69" s="39"/>
      <c r="BN69" s="100"/>
      <c r="BO69" s="39"/>
      <c r="BP69" s="100"/>
      <c r="BQ69" s="39"/>
      <c r="BR69" s="40" t="str">
        <f t="shared" ref="BR69:BS69" si="135">SUM('Oct 24:Sept 25'!BR69)</f>
        <v>#REF!</v>
      </c>
      <c r="BS69" s="41" t="str">
        <f t="shared" si="135"/>
        <v>#REF!</v>
      </c>
      <c r="BT69" s="42"/>
      <c r="BU69" s="42"/>
      <c r="BV69" s="155" t="str">
        <f t="shared" si="5"/>
        <v>#REF!</v>
      </c>
      <c r="BW69" s="156" t="str">
        <f t="shared" si="6"/>
        <v>#REF!</v>
      </c>
      <c r="BX69" s="157" t="str">
        <f t="shared" si="7"/>
        <v>#REF!</v>
      </c>
    </row>
    <row r="70" ht="12.0" customHeight="1">
      <c r="A70" s="101"/>
      <c r="B70" s="107"/>
      <c r="C70" s="108"/>
      <c r="D70" s="33" t="str">
        <f t="shared" ref="D70:E70" si="136">SUM('Oct 24:Sept 25'!D70)</f>
        <v>#REF!</v>
      </c>
      <c r="E70" s="154" t="str">
        <f t="shared" si="136"/>
        <v>#REF!</v>
      </c>
      <c r="F70" s="31"/>
      <c r="G70" s="32"/>
      <c r="H70" s="31"/>
      <c r="I70" s="32"/>
      <c r="J70" s="31"/>
      <c r="K70" s="32"/>
      <c r="L70" s="31"/>
      <c r="M70" s="32"/>
      <c r="N70" s="31"/>
      <c r="O70" s="32"/>
      <c r="P70" s="31"/>
      <c r="Q70" s="32"/>
      <c r="R70" s="31"/>
      <c r="S70" s="32"/>
      <c r="T70" s="31"/>
      <c r="U70" s="32"/>
      <c r="V70" s="31"/>
      <c r="W70" s="32"/>
      <c r="X70" s="34"/>
      <c r="Y70" s="35"/>
      <c r="Z70" s="34"/>
      <c r="AA70" s="35"/>
      <c r="AB70" s="34"/>
      <c r="AC70" s="35"/>
      <c r="AD70" s="34"/>
      <c r="AE70" s="35"/>
      <c r="AF70" s="34"/>
      <c r="AG70" s="35"/>
      <c r="AH70" s="34"/>
      <c r="AI70" s="35"/>
      <c r="AJ70" s="34"/>
      <c r="AK70" s="35"/>
      <c r="AL70" s="34"/>
      <c r="AM70" s="35"/>
      <c r="AN70" s="34"/>
      <c r="AO70" s="35"/>
      <c r="AP70" s="34"/>
      <c r="AQ70" s="35"/>
      <c r="AR70" s="34"/>
      <c r="AS70" s="35"/>
      <c r="AT70" s="34"/>
      <c r="AU70" s="35"/>
      <c r="AV70" s="34"/>
      <c r="AW70" s="35"/>
      <c r="AX70" s="34"/>
      <c r="AY70" s="37"/>
      <c r="AZ70" s="100"/>
      <c r="BA70" s="39"/>
      <c r="BB70" s="100"/>
      <c r="BC70" s="39"/>
      <c r="BD70" s="100"/>
      <c r="BE70" s="39"/>
      <c r="BF70" s="100"/>
      <c r="BG70" s="39"/>
      <c r="BH70" s="100"/>
      <c r="BI70" s="39"/>
      <c r="BJ70" s="100"/>
      <c r="BK70" s="39"/>
      <c r="BL70" s="100"/>
      <c r="BM70" s="39"/>
      <c r="BN70" s="100"/>
      <c r="BO70" s="39"/>
      <c r="BP70" s="100"/>
      <c r="BQ70" s="39"/>
      <c r="BR70" s="40" t="str">
        <f t="shared" ref="BR70:BS70" si="137">SUM('Oct 24:Sept 25'!BR70)</f>
        <v>#REF!</v>
      </c>
      <c r="BS70" s="41" t="str">
        <f t="shared" si="137"/>
        <v>#REF!</v>
      </c>
      <c r="BT70" s="42"/>
      <c r="BU70" s="42"/>
      <c r="BV70" s="155" t="str">
        <f t="shared" si="5"/>
        <v>#REF!</v>
      </c>
      <c r="BW70" s="156" t="str">
        <f t="shared" si="6"/>
        <v>#REF!</v>
      </c>
      <c r="BX70" s="157" t="str">
        <f t="shared" si="7"/>
        <v>#REF!</v>
      </c>
    </row>
    <row r="71" ht="16.5" customHeight="1">
      <c r="A71" s="1"/>
      <c r="B71" s="47" t="s">
        <v>27</v>
      </c>
      <c r="C71" s="8"/>
      <c r="D71" s="48" t="str">
        <f t="shared" ref="D71:BU71" si="138">SUM(D4:D70)</f>
        <v>#REF!</v>
      </c>
      <c r="E71" s="49" t="str">
        <f t="shared" si="138"/>
        <v>#REF!</v>
      </c>
      <c r="F71" s="48">
        <f t="shared" si="138"/>
        <v>0</v>
      </c>
      <c r="G71" s="49">
        <f t="shared" si="138"/>
        <v>0</v>
      </c>
      <c r="H71" s="48">
        <f t="shared" si="138"/>
        <v>0</v>
      </c>
      <c r="I71" s="49">
        <f t="shared" si="138"/>
        <v>0</v>
      </c>
      <c r="J71" s="48">
        <f t="shared" si="138"/>
        <v>0</v>
      </c>
      <c r="K71" s="49">
        <f t="shared" si="138"/>
        <v>0</v>
      </c>
      <c r="L71" s="48">
        <f t="shared" si="138"/>
        <v>0</v>
      </c>
      <c r="M71" s="49">
        <f t="shared" si="138"/>
        <v>0</v>
      </c>
      <c r="N71" s="48">
        <f t="shared" si="138"/>
        <v>0</v>
      </c>
      <c r="O71" s="49">
        <f t="shared" si="138"/>
        <v>0</v>
      </c>
      <c r="P71" s="48">
        <f t="shared" si="138"/>
        <v>0</v>
      </c>
      <c r="Q71" s="49">
        <f t="shared" si="138"/>
        <v>0</v>
      </c>
      <c r="R71" s="48">
        <f t="shared" si="138"/>
        <v>0</v>
      </c>
      <c r="S71" s="49">
        <f t="shared" si="138"/>
        <v>0</v>
      </c>
      <c r="T71" s="48">
        <f t="shared" si="138"/>
        <v>0</v>
      </c>
      <c r="U71" s="49">
        <f t="shared" si="138"/>
        <v>0</v>
      </c>
      <c r="V71" s="48">
        <f t="shared" si="138"/>
        <v>0</v>
      </c>
      <c r="W71" s="49">
        <f t="shared" si="138"/>
        <v>0</v>
      </c>
      <c r="X71" s="51">
        <f t="shared" si="138"/>
        <v>0</v>
      </c>
      <c r="Y71" s="52">
        <f t="shared" si="138"/>
        <v>0</v>
      </c>
      <c r="Z71" s="51">
        <f t="shared" si="138"/>
        <v>0</v>
      </c>
      <c r="AA71" s="52">
        <f t="shared" si="138"/>
        <v>0</v>
      </c>
      <c r="AB71" s="51">
        <f t="shared" si="138"/>
        <v>0</v>
      </c>
      <c r="AC71" s="52">
        <f t="shared" si="138"/>
        <v>0</v>
      </c>
      <c r="AD71" s="51">
        <f t="shared" si="138"/>
        <v>0</v>
      </c>
      <c r="AE71" s="52">
        <f t="shared" si="138"/>
        <v>0</v>
      </c>
      <c r="AF71" s="51">
        <f t="shared" si="138"/>
        <v>0</v>
      </c>
      <c r="AG71" s="52">
        <f t="shared" si="138"/>
        <v>0</v>
      </c>
      <c r="AH71" s="51">
        <f t="shared" si="138"/>
        <v>0</v>
      </c>
      <c r="AI71" s="52">
        <f t="shared" si="138"/>
        <v>0</v>
      </c>
      <c r="AJ71" s="51">
        <f t="shared" si="138"/>
        <v>0</v>
      </c>
      <c r="AK71" s="52">
        <f t="shared" si="138"/>
        <v>0</v>
      </c>
      <c r="AL71" s="51">
        <f t="shared" si="138"/>
        <v>0</v>
      </c>
      <c r="AM71" s="52">
        <f t="shared" si="138"/>
        <v>0</v>
      </c>
      <c r="AN71" s="51">
        <f t="shared" si="138"/>
        <v>0</v>
      </c>
      <c r="AO71" s="52">
        <f t="shared" si="138"/>
        <v>0</v>
      </c>
      <c r="AP71" s="51">
        <f t="shared" si="138"/>
        <v>0</v>
      </c>
      <c r="AQ71" s="52">
        <f t="shared" si="138"/>
        <v>0</v>
      </c>
      <c r="AR71" s="51">
        <f t="shared" si="138"/>
        <v>0</v>
      </c>
      <c r="AS71" s="52">
        <f t="shared" si="138"/>
        <v>0</v>
      </c>
      <c r="AT71" s="51">
        <f t="shared" si="138"/>
        <v>0</v>
      </c>
      <c r="AU71" s="52">
        <f t="shared" si="138"/>
        <v>0</v>
      </c>
      <c r="AV71" s="51">
        <f t="shared" si="138"/>
        <v>0</v>
      </c>
      <c r="AW71" s="52">
        <f t="shared" si="138"/>
        <v>0</v>
      </c>
      <c r="AX71" s="51">
        <f t="shared" si="138"/>
        <v>0</v>
      </c>
      <c r="AY71" s="53">
        <f t="shared" si="138"/>
        <v>0</v>
      </c>
      <c r="AZ71" s="54">
        <f t="shared" si="138"/>
        <v>0</v>
      </c>
      <c r="BA71" s="55">
        <f t="shared" si="138"/>
        <v>0</v>
      </c>
      <c r="BB71" s="54">
        <f t="shared" si="138"/>
        <v>0</v>
      </c>
      <c r="BC71" s="55">
        <f t="shared" si="138"/>
        <v>0</v>
      </c>
      <c r="BD71" s="54">
        <f t="shared" si="138"/>
        <v>0</v>
      </c>
      <c r="BE71" s="55">
        <f t="shared" si="138"/>
        <v>0</v>
      </c>
      <c r="BF71" s="54">
        <f t="shared" si="138"/>
        <v>0</v>
      </c>
      <c r="BG71" s="55">
        <f t="shared" si="138"/>
        <v>0</v>
      </c>
      <c r="BH71" s="54">
        <f t="shared" si="138"/>
        <v>0</v>
      </c>
      <c r="BI71" s="55">
        <f t="shared" si="138"/>
        <v>0</v>
      </c>
      <c r="BJ71" s="54">
        <f t="shared" si="138"/>
        <v>0</v>
      </c>
      <c r="BK71" s="55">
        <f t="shared" si="138"/>
        <v>0</v>
      </c>
      <c r="BL71" s="54">
        <f t="shared" si="138"/>
        <v>0</v>
      </c>
      <c r="BM71" s="55">
        <f t="shared" si="138"/>
        <v>0</v>
      </c>
      <c r="BN71" s="54">
        <f t="shared" si="138"/>
        <v>0</v>
      </c>
      <c r="BO71" s="55">
        <f t="shared" si="138"/>
        <v>0</v>
      </c>
      <c r="BP71" s="54">
        <f t="shared" si="138"/>
        <v>0</v>
      </c>
      <c r="BQ71" s="55">
        <f t="shared" si="138"/>
        <v>0</v>
      </c>
      <c r="BR71" s="130" t="str">
        <f t="shared" si="138"/>
        <v>#REF!</v>
      </c>
      <c r="BS71" s="57" t="str">
        <f t="shared" si="138"/>
        <v>#REF!</v>
      </c>
      <c r="BT71" s="158">
        <f t="shared" si="138"/>
        <v>0</v>
      </c>
      <c r="BU71" s="158">
        <f t="shared" si="138"/>
        <v>0</v>
      </c>
      <c r="BV71" s="159" t="str">
        <f>BR71/BT71</f>
        <v>#REF!</v>
      </c>
      <c r="BW71" s="160" t="str">
        <f>BR71/BS71</f>
        <v>#REF!</v>
      </c>
      <c r="BX71" s="160" t="str">
        <f>BR71/BU71</f>
        <v>#REF!</v>
      </c>
    </row>
    <row r="72" ht="12.0" customHeight="1">
      <c r="A72" s="1"/>
      <c r="AX72" s="161"/>
      <c r="AY72" s="161"/>
      <c r="BR72" s="3"/>
      <c r="BS72" s="3"/>
    </row>
    <row r="73" ht="12.0" customHeight="1">
      <c r="A73" s="1"/>
      <c r="BR73" s="3"/>
      <c r="BS73" s="3"/>
    </row>
    <row r="74" ht="12.0" customHeight="1">
      <c r="A74" s="61"/>
      <c r="B74" s="62" t="s">
        <v>28</v>
      </c>
      <c r="C74" s="62" t="s">
        <v>29</v>
      </c>
      <c r="D74" s="63" t="s">
        <v>30</v>
      </c>
      <c r="E74" s="64" t="s">
        <v>31</v>
      </c>
      <c r="F74" s="65" t="s">
        <v>11</v>
      </c>
      <c r="G74" s="64" t="s">
        <v>13</v>
      </c>
      <c r="H74" s="162" t="s">
        <v>14</v>
      </c>
      <c r="I74" s="64" t="s">
        <v>32</v>
      </c>
      <c r="BR74" s="3"/>
      <c r="BS74" s="3"/>
    </row>
    <row r="75" ht="12.0" customHeight="1">
      <c r="A75" s="66" t="s">
        <v>33</v>
      </c>
      <c r="B75" s="60" t="str">
        <f t="shared" ref="B75:B91" si="140">SUM('Oct 24:Sept 25'!B75)</f>
        <v>#REF!</v>
      </c>
      <c r="C75" s="3" t="s">
        <v>34</v>
      </c>
      <c r="D75" s="67" t="str">
        <f t="shared" ref="D75:F75" si="139">SUM('Oct 24:Sept 25'!D75)</f>
        <v>#REF!</v>
      </c>
      <c r="E75" s="68" t="str">
        <f t="shared" si="139"/>
        <v>#REF!</v>
      </c>
      <c r="F75" s="67" t="str">
        <f t="shared" si="139"/>
        <v>#REF!</v>
      </c>
      <c r="G75" s="69" t="str">
        <f t="shared" ref="G75:G91" si="142">IF(D75=0, "", D75/F75)</f>
        <v>#REF!</v>
      </c>
      <c r="H75" s="70" t="str">
        <f t="shared" ref="H75:H91" si="143">IF(D75=0, "",D75/E75)</f>
        <v>#REF!</v>
      </c>
      <c r="I75" s="71" t="str">
        <f t="shared" ref="I75:I91" si="144">IF(D75=0, "",D75/B75)</f>
        <v>#REF!</v>
      </c>
      <c r="L75" s="84"/>
      <c r="M75" s="84"/>
      <c r="BR75" s="3"/>
      <c r="BS75" s="3"/>
    </row>
    <row r="76" ht="12.0" customHeight="1">
      <c r="A76" s="66" t="s">
        <v>35</v>
      </c>
      <c r="B76" s="60" t="str">
        <f t="shared" si="140"/>
        <v>#REF!</v>
      </c>
      <c r="C76" s="3" t="s">
        <v>36</v>
      </c>
      <c r="D76" s="72" t="str">
        <f t="shared" ref="D76:F76" si="141">SUM('Oct 24:Sept 25'!D76)</f>
        <v>#REF!</v>
      </c>
      <c r="E76" s="73" t="str">
        <f t="shared" si="141"/>
        <v>#REF!</v>
      </c>
      <c r="F76" s="72" t="str">
        <f t="shared" si="141"/>
        <v>#REF!</v>
      </c>
      <c r="G76" s="74" t="str">
        <f t="shared" si="142"/>
        <v>#REF!</v>
      </c>
      <c r="H76" s="75" t="str">
        <f t="shared" si="143"/>
        <v>#REF!</v>
      </c>
      <c r="I76" s="71" t="str">
        <f t="shared" si="144"/>
        <v>#REF!</v>
      </c>
      <c r="L76" s="84"/>
      <c r="M76" s="84"/>
      <c r="BR76" s="3"/>
      <c r="BS76" s="3"/>
    </row>
    <row r="77" ht="12.0" customHeight="1">
      <c r="A77" s="66" t="s">
        <v>37</v>
      </c>
      <c r="B77" s="60" t="str">
        <f t="shared" si="140"/>
        <v>#REF!</v>
      </c>
      <c r="C77" s="3" t="s">
        <v>38</v>
      </c>
      <c r="D77" s="72" t="str">
        <f t="shared" ref="D77:F77" si="145">SUM('Oct 24:Sept 25'!D77)</f>
        <v>#REF!</v>
      </c>
      <c r="E77" s="73" t="str">
        <f t="shared" si="145"/>
        <v>#REF!</v>
      </c>
      <c r="F77" s="72" t="str">
        <f t="shared" si="145"/>
        <v>#REF!</v>
      </c>
      <c r="G77" s="74" t="str">
        <f t="shared" si="142"/>
        <v>#REF!</v>
      </c>
      <c r="H77" s="75" t="str">
        <f t="shared" si="143"/>
        <v>#REF!</v>
      </c>
      <c r="I77" s="71" t="str">
        <f t="shared" si="144"/>
        <v>#REF!</v>
      </c>
      <c r="L77" s="84"/>
      <c r="M77" s="84"/>
      <c r="BR77" s="3"/>
      <c r="BS77" s="3"/>
    </row>
    <row r="78" ht="12.0" customHeight="1">
      <c r="A78" s="66" t="s">
        <v>39</v>
      </c>
      <c r="B78" s="60" t="str">
        <f t="shared" si="140"/>
        <v>#REF!</v>
      </c>
      <c r="C78" s="3" t="s">
        <v>40</v>
      </c>
      <c r="D78" s="72" t="str">
        <f t="shared" ref="D78:F78" si="146">SUM('Oct 24:Sept 25'!D78)</f>
        <v>#REF!</v>
      </c>
      <c r="E78" s="73" t="str">
        <f t="shared" si="146"/>
        <v>#REF!</v>
      </c>
      <c r="F78" s="72" t="str">
        <f t="shared" si="146"/>
        <v>#REF!</v>
      </c>
      <c r="G78" s="74" t="str">
        <f t="shared" si="142"/>
        <v>#REF!</v>
      </c>
      <c r="H78" s="75" t="str">
        <f t="shared" si="143"/>
        <v>#REF!</v>
      </c>
      <c r="I78" s="71" t="str">
        <f t="shared" si="144"/>
        <v>#REF!</v>
      </c>
      <c r="L78" s="84"/>
      <c r="M78" s="84"/>
      <c r="BR78" s="3"/>
      <c r="BS78" s="3"/>
    </row>
    <row r="79" ht="12.0" customHeight="1">
      <c r="A79" s="66" t="s">
        <v>41</v>
      </c>
      <c r="B79" s="60" t="str">
        <f t="shared" si="140"/>
        <v>#REF!</v>
      </c>
      <c r="C79" s="3" t="s">
        <v>42</v>
      </c>
      <c r="D79" s="72" t="str">
        <f t="shared" ref="D79:F79" si="147">SUM('Oct 24:Sept 25'!D79)</f>
        <v>#REF!</v>
      </c>
      <c r="E79" s="73" t="str">
        <f t="shared" si="147"/>
        <v>#REF!</v>
      </c>
      <c r="F79" s="72" t="str">
        <f t="shared" si="147"/>
        <v>#REF!</v>
      </c>
      <c r="G79" s="74" t="str">
        <f t="shared" si="142"/>
        <v>#REF!</v>
      </c>
      <c r="H79" s="75" t="str">
        <f t="shared" si="143"/>
        <v>#REF!</v>
      </c>
      <c r="I79" s="71" t="str">
        <f t="shared" si="144"/>
        <v>#REF!</v>
      </c>
      <c r="L79" s="84"/>
      <c r="M79" s="84"/>
      <c r="BR79" s="3"/>
      <c r="BS79" s="3"/>
    </row>
    <row r="80" ht="12.0" customHeight="1">
      <c r="A80" s="66" t="s">
        <v>43</v>
      </c>
      <c r="B80" s="60" t="str">
        <f t="shared" si="140"/>
        <v>#REF!</v>
      </c>
      <c r="C80" s="3" t="s">
        <v>44</v>
      </c>
      <c r="D80" s="72" t="str">
        <f t="shared" ref="D80:F80" si="148">SUM('Oct 24:Sept 25'!D80)</f>
        <v>#REF!</v>
      </c>
      <c r="E80" s="73" t="str">
        <f t="shared" si="148"/>
        <v>#REF!</v>
      </c>
      <c r="F80" s="72" t="str">
        <f t="shared" si="148"/>
        <v>#REF!</v>
      </c>
      <c r="G80" s="74" t="str">
        <f t="shared" si="142"/>
        <v>#REF!</v>
      </c>
      <c r="H80" s="75" t="str">
        <f t="shared" si="143"/>
        <v>#REF!</v>
      </c>
      <c r="I80" s="71" t="str">
        <f t="shared" si="144"/>
        <v>#REF!</v>
      </c>
      <c r="L80" s="84"/>
      <c r="M80" s="84"/>
      <c r="BR80" s="3"/>
      <c r="BS80" s="3"/>
    </row>
    <row r="81" ht="12.0" customHeight="1">
      <c r="A81" s="66" t="s">
        <v>45</v>
      </c>
      <c r="B81" s="60" t="str">
        <f t="shared" si="140"/>
        <v>#REF!</v>
      </c>
      <c r="C81" s="3" t="s">
        <v>46</v>
      </c>
      <c r="D81" s="72" t="str">
        <f t="shared" ref="D81:F81" si="149">SUM('Oct 24:Sept 25'!D81)</f>
        <v>#REF!</v>
      </c>
      <c r="E81" s="73" t="str">
        <f t="shared" si="149"/>
        <v>#REF!</v>
      </c>
      <c r="F81" s="72" t="str">
        <f t="shared" si="149"/>
        <v>#REF!</v>
      </c>
      <c r="G81" s="74" t="str">
        <f t="shared" si="142"/>
        <v>#REF!</v>
      </c>
      <c r="H81" s="75" t="str">
        <f t="shared" si="143"/>
        <v>#REF!</v>
      </c>
      <c r="I81" s="71" t="str">
        <f t="shared" si="144"/>
        <v>#REF!</v>
      </c>
      <c r="L81" s="84"/>
      <c r="M81" s="84"/>
      <c r="BR81" s="3"/>
      <c r="BS81" s="3"/>
    </row>
    <row r="82" ht="12.0" customHeight="1">
      <c r="A82" s="66" t="s">
        <v>47</v>
      </c>
      <c r="B82" s="60" t="str">
        <f t="shared" si="140"/>
        <v>#REF!</v>
      </c>
      <c r="C82" s="3" t="s">
        <v>48</v>
      </c>
      <c r="D82" s="72" t="str">
        <f t="shared" ref="D82:F82" si="150">SUM('Oct 24:Sept 25'!D82)</f>
        <v>#REF!</v>
      </c>
      <c r="E82" s="73" t="str">
        <f t="shared" si="150"/>
        <v>#REF!</v>
      </c>
      <c r="F82" s="72" t="str">
        <f t="shared" si="150"/>
        <v>#REF!</v>
      </c>
      <c r="G82" s="74" t="str">
        <f t="shared" si="142"/>
        <v>#REF!</v>
      </c>
      <c r="H82" s="75" t="str">
        <f t="shared" si="143"/>
        <v>#REF!</v>
      </c>
      <c r="I82" s="71" t="str">
        <f t="shared" si="144"/>
        <v>#REF!</v>
      </c>
      <c r="L82" s="84"/>
      <c r="M82" s="84"/>
      <c r="BR82" s="3"/>
      <c r="BS82" s="3"/>
    </row>
    <row r="83" ht="12.0" customHeight="1">
      <c r="A83" s="66" t="s">
        <v>49</v>
      </c>
      <c r="B83" s="60" t="str">
        <f t="shared" si="140"/>
        <v>#REF!</v>
      </c>
      <c r="C83" s="3" t="s">
        <v>49</v>
      </c>
      <c r="D83" s="72" t="str">
        <f t="shared" ref="D83:F83" si="151">SUM('Oct 24:Sept 25'!D83)</f>
        <v>#REF!</v>
      </c>
      <c r="E83" s="73" t="str">
        <f t="shared" si="151"/>
        <v>#REF!</v>
      </c>
      <c r="F83" s="72" t="str">
        <f t="shared" si="151"/>
        <v>#REF!</v>
      </c>
      <c r="G83" s="74" t="str">
        <f t="shared" si="142"/>
        <v>#REF!</v>
      </c>
      <c r="H83" s="75" t="str">
        <f t="shared" si="143"/>
        <v>#REF!</v>
      </c>
      <c r="I83" s="71" t="str">
        <f t="shared" si="144"/>
        <v>#REF!</v>
      </c>
      <c r="L83" s="84"/>
      <c r="M83" s="84"/>
      <c r="BR83" s="3"/>
      <c r="BS83" s="3"/>
    </row>
    <row r="84" ht="12.0" customHeight="1">
      <c r="A84" s="66" t="s">
        <v>50</v>
      </c>
      <c r="B84" s="60" t="str">
        <f t="shared" si="140"/>
        <v>#REF!</v>
      </c>
      <c r="C84" s="3" t="s">
        <v>50</v>
      </c>
      <c r="D84" s="72" t="str">
        <f t="shared" ref="D84:F84" si="152">SUM('Oct 24:Sept 25'!D84)</f>
        <v>#REF!</v>
      </c>
      <c r="E84" s="73" t="str">
        <f t="shared" si="152"/>
        <v>#REF!</v>
      </c>
      <c r="F84" s="72" t="str">
        <f t="shared" si="152"/>
        <v>#REF!</v>
      </c>
      <c r="G84" s="74" t="str">
        <f t="shared" si="142"/>
        <v>#REF!</v>
      </c>
      <c r="H84" s="75" t="str">
        <f t="shared" si="143"/>
        <v>#REF!</v>
      </c>
      <c r="I84" s="71" t="str">
        <f t="shared" si="144"/>
        <v>#REF!</v>
      </c>
      <c r="L84" s="84"/>
      <c r="M84" s="84"/>
      <c r="BR84" s="3"/>
      <c r="BS84" s="3"/>
    </row>
    <row r="85" ht="12.0" customHeight="1">
      <c r="A85" s="66" t="s">
        <v>51</v>
      </c>
      <c r="B85" s="60" t="str">
        <f t="shared" si="140"/>
        <v>#REF!</v>
      </c>
      <c r="C85" s="3" t="s">
        <v>51</v>
      </c>
      <c r="D85" s="72" t="str">
        <f t="shared" ref="D85:F85" si="153">SUM('Oct 24:Sept 25'!D85)</f>
        <v>#REF!</v>
      </c>
      <c r="E85" s="73" t="str">
        <f t="shared" si="153"/>
        <v>#REF!</v>
      </c>
      <c r="F85" s="72" t="str">
        <f t="shared" si="153"/>
        <v>#REF!</v>
      </c>
      <c r="G85" s="74" t="str">
        <f t="shared" si="142"/>
        <v>#REF!</v>
      </c>
      <c r="H85" s="75" t="str">
        <f t="shared" si="143"/>
        <v>#REF!</v>
      </c>
      <c r="I85" s="71" t="str">
        <f t="shared" si="144"/>
        <v>#REF!</v>
      </c>
      <c r="L85" s="84"/>
      <c r="M85" s="84"/>
      <c r="BR85" s="3"/>
      <c r="BS85" s="3"/>
    </row>
    <row r="86" ht="12.0" customHeight="1">
      <c r="A86" s="66" t="s">
        <v>52</v>
      </c>
      <c r="B86" s="60" t="str">
        <f t="shared" si="140"/>
        <v>#REF!</v>
      </c>
      <c r="C86" s="3" t="s">
        <v>52</v>
      </c>
      <c r="D86" s="72" t="str">
        <f t="shared" ref="D86:F86" si="154">SUM('Oct 24:Sept 25'!D86)</f>
        <v>#REF!</v>
      </c>
      <c r="E86" s="73" t="str">
        <f t="shared" si="154"/>
        <v>#REF!</v>
      </c>
      <c r="F86" s="72" t="str">
        <f t="shared" si="154"/>
        <v>#REF!</v>
      </c>
      <c r="G86" s="74" t="str">
        <f t="shared" si="142"/>
        <v>#REF!</v>
      </c>
      <c r="H86" s="75" t="str">
        <f t="shared" si="143"/>
        <v>#REF!</v>
      </c>
      <c r="I86" s="71" t="str">
        <f t="shared" si="144"/>
        <v>#REF!</v>
      </c>
      <c r="L86" s="84"/>
      <c r="M86" s="84"/>
      <c r="BR86" s="3"/>
      <c r="BS86" s="3"/>
    </row>
    <row r="87" ht="12.0" customHeight="1">
      <c r="A87" s="66" t="s">
        <v>53</v>
      </c>
      <c r="B87" s="60" t="str">
        <f t="shared" si="140"/>
        <v>#REF!</v>
      </c>
      <c r="C87" s="3" t="s">
        <v>53</v>
      </c>
      <c r="D87" s="72" t="str">
        <f t="shared" ref="D87:F87" si="155">SUM('Oct 24:Sept 25'!D87)</f>
        <v>#REF!</v>
      </c>
      <c r="E87" s="73" t="str">
        <f t="shared" si="155"/>
        <v>#REF!</v>
      </c>
      <c r="F87" s="72" t="str">
        <f t="shared" si="155"/>
        <v>#REF!</v>
      </c>
      <c r="G87" s="74" t="str">
        <f t="shared" si="142"/>
        <v>#REF!</v>
      </c>
      <c r="H87" s="75" t="str">
        <f t="shared" si="143"/>
        <v>#REF!</v>
      </c>
      <c r="I87" s="71" t="str">
        <f t="shared" si="144"/>
        <v>#REF!</v>
      </c>
      <c r="L87" s="84"/>
      <c r="M87" s="84"/>
      <c r="BR87" s="3"/>
      <c r="BS87" s="3"/>
    </row>
    <row r="88" ht="12.0" customHeight="1">
      <c r="A88" s="66" t="s">
        <v>54</v>
      </c>
      <c r="B88" s="60" t="str">
        <f t="shared" si="140"/>
        <v>#REF!</v>
      </c>
      <c r="C88" s="3" t="s">
        <v>54</v>
      </c>
      <c r="D88" s="72" t="str">
        <f t="shared" ref="D88:F88" si="156">SUM('Oct 24:Sept 25'!D88)</f>
        <v>#REF!</v>
      </c>
      <c r="E88" s="73" t="str">
        <f t="shared" si="156"/>
        <v>#REF!</v>
      </c>
      <c r="F88" s="72" t="str">
        <f t="shared" si="156"/>
        <v>#REF!</v>
      </c>
      <c r="G88" s="74" t="str">
        <f t="shared" si="142"/>
        <v>#REF!</v>
      </c>
      <c r="H88" s="75" t="str">
        <f t="shared" si="143"/>
        <v>#REF!</v>
      </c>
      <c r="I88" s="71" t="str">
        <f t="shared" si="144"/>
        <v>#REF!</v>
      </c>
      <c r="L88" s="84"/>
      <c r="M88" s="84"/>
      <c r="BR88" s="3"/>
      <c r="BS88" s="3"/>
    </row>
    <row r="89" ht="12.0" customHeight="1">
      <c r="A89" s="66" t="s">
        <v>55</v>
      </c>
      <c r="B89" s="60" t="str">
        <f t="shared" si="140"/>
        <v>#REF!</v>
      </c>
      <c r="C89" s="3" t="s">
        <v>55</v>
      </c>
      <c r="D89" s="72" t="str">
        <f t="shared" ref="D89:F89" si="157">SUM('Oct 24:Sept 25'!D89)</f>
        <v>#REF!</v>
      </c>
      <c r="E89" s="73" t="str">
        <f t="shared" si="157"/>
        <v>#REF!</v>
      </c>
      <c r="F89" s="72" t="str">
        <f t="shared" si="157"/>
        <v>#REF!</v>
      </c>
      <c r="G89" s="74" t="str">
        <f t="shared" si="142"/>
        <v>#REF!</v>
      </c>
      <c r="H89" s="75" t="str">
        <f t="shared" si="143"/>
        <v>#REF!</v>
      </c>
      <c r="I89" s="71" t="str">
        <f t="shared" si="144"/>
        <v>#REF!</v>
      </c>
      <c r="L89" s="84"/>
      <c r="M89" s="84"/>
      <c r="BR89" s="3"/>
      <c r="BS89" s="3"/>
    </row>
    <row r="90" ht="12.0" customHeight="1">
      <c r="A90" s="66" t="s">
        <v>56</v>
      </c>
      <c r="B90" s="60" t="str">
        <f t="shared" si="140"/>
        <v>#REF!</v>
      </c>
      <c r="C90" s="3" t="s">
        <v>56</v>
      </c>
      <c r="D90" s="72" t="str">
        <f t="shared" ref="D90:F90" si="158">SUM('Oct 24:Sept 25'!D90)</f>
        <v>#REF!</v>
      </c>
      <c r="E90" s="73" t="str">
        <f t="shared" si="158"/>
        <v>#REF!</v>
      </c>
      <c r="F90" s="72" t="str">
        <f t="shared" si="158"/>
        <v>#REF!</v>
      </c>
      <c r="G90" s="74" t="str">
        <f t="shared" si="142"/>
        <v>#REF!</v>
      </c>
      <c r="H90" s="75" t="str">
        <f t="shared" si="143"/>
        <v>#REF!</v>
      </c>
      <c r="I90" s="71" t="str">
        <f t="shared" si="144"/>
        <v>#REF!</v>
      </c>
      <c r="L90" s="84"/>
      <c r="M90" s="84"/>
      <c r="BR90" s="3"/>
      <c r="BS90" s="3"/>
    </row>
    <row r="91" ht="12.0" customHeight="1">
      <c r="A91" s="76" t="s">
        <v>57</v>
      </c>
      <c r="B91" s="77" t="str">
        <f t="shared" si="140"/>
        <v>#REF!</v>
      </c>
      <c r="C91" s="78" t="s">
        <v>57</v>
      </c>
      <c r="D91" s="79" t="str">
        <f t="shared" ref="D91:F91" si="159">SUM('Oct 24:Sept 25'!D91)</f>
        <v>#REF!</v>
      </c>
      <c r="E91" s="80" t="str">
        <f t="shared" si="159"/>
        <v>#REF!</v>
      </c>
      <c r="F91" s="79" t="str">
        <f t="shared" si="159"/>
        <v>#REF!</v>
      </c>
      <c r="G91" s="81" t="str">
        <f t="shared" si="142"/>
        <v>#REF!</v>
      </c>
      <c r="H91" s="82" t="str">
        <f t="shared" si="143"/>
        <v>#REF!</v>
      </c>
      <c r="I91" s="83" t="str">
        <f t="shared" si="144"/>
        <v>#REF!</v>
      </c>
      <c r="L91" s="84"/>
      <c r="M91" s="84"/>
      <c r="BR91" s="3"/>
      <c r="BS91" s="3"/>
    </row>
    <row r="92" ht="12.0" customHeight="1">
      <c r="A92" s="1"/>
      <c r="BR92" s="3"/>
      <c r="BS92" s="3"/>
    </row>
    <row r="93" ht="12.0" customHeight="1">
      <c r="A93" s="1"/>
      <c r="BR93" s="3"/>
      <c r="BS93" s="3"/>
    </row>
    <row r="94" ht="12.0" customHeight="1">
      <c r="A94" s="61"/>
      <c r="B94" s="62" t="s">
        <v>28</v>
      </c>
      <c r="C94" s="62"/>
      <c r="D94" s="63" t="s">
        <v>30</v>
      </c>
      <c r="E94" s="64" t="s">
        <v>31</v>
      </c>
      <c r="F94" s="65" t="s">
        <v>11</v>
      </c>
      <c r="G94" s="64" t="s">
        <v>13</v>
      </c>
      <c r="H94" s="162" t="s">
        <v>14</v>
      </c>
      <c r="I94" s="64" t="s">
        <v>32</v>
      </c>
      <c r="BR94" s="3"/>
      <c r="BS94" s="3"/>
    </row>
    <row r="95" ht="12.0" customHeight="1">
      <c r="A95" s="66" t="s">
        <v>58</v>
      </c>
      <c r="B95" s="60">
        <f>COUNTIF(C4:C70,"*Vista*")</f>
        <v>0</v>
      </c>
      <c r="D95" s="88" t="str">
        <f t="shared" ref="D95:F95" si="160">SUM('Oct 24:Sept 25'!D95)</f>
        <v>#REF!</v>
      </c>
      <c r="E95" s="73" t="str">
        <f t="shared" si="160"/>
        <v>#REF!</v>
      </c>
      <c r="F95" s="89" t="str">
        <f t="shared" si="160"/>
        <v>#REF!</v>
      </c>
      <c r="G95" s="90" t="str">
        <f t="shared" ref="G95:G118" si="162">IF(D95=0, "", D95/F95)</f>
        <v>#REF!</v>
      </c>
      <c r="H95" s="91" t="str">
        <f t="shared" ref="H95:H118" si="163">IF(D95=0, "",D95/E95)</f>
        <v>#REF!</v>
      </c>
      <c r="I95" s="92" t="str">
        <f t="shared" ref="I95:I118" si="164">IF(D95=0, "",D95/B95)</f>
        <v>#REF!</v>
      </c>
      <c r="BR95" s="3"/>
      <c r="BS95" s="3"/>
    </row>
    <row r="96" ht="12.0" customHeight="1">
      <c r="A96" s="66" t="s">
        <v>59</v>
      </c>
      <c r="B96" s="84">
        <f>COUNTIF(C4:C70,"*Conquest*")</f>
        <v>0</v>
      </c>
      <c r="D96" s="88" t="str">
        <f t="shared" ref="D96:F96" si="161">SUM('Oct 24:Sept 25'!D96)</f>
        <v>#REF!</v>
      </c>
      <c r="E96" s="73" t="str">
        <f t="shared" si="161"/>
        <v>#REF!</v>
      </c>
      <c r="F96" s="89" t="str">
        <f t="shared" si="161"/>
        <v>#REF!</v>
      </c>
      <c r="G96" s="90" t="str">
        <f t="shared" si="162"/>
        <v>#REF!</v>
      </c>
      <c r="H96" s="91" t="str">
        <f t="shared" si="163"/>
        <v>#REF!</v>
      </c>
      <c r="I96" s="92" t="str">
        <f t="shared" si="164"/>
        <v>#REF!</v>
      </c>
      <c r="BR96" s="3"/>
      <c r="BS96" s="3"/>
    </row>
    <row r="97" ht="12.0" customHeight="1">
      <c r="A97" s="66" t="s">
        <v>60</v>
      </c>
      <c r="B97" s="84">
        <f>COUNTIF(C4:C70,"*Glory*")</f>
        <v>0</v>
      </c>
      <c r="D97" s="88" t="str">
        <f t="shared" ref="D97:F97" si="165">SUM('Oct 24:Sept 25'!D97)</f>
        <v>#REF!</v>
      </c>
      <c r="E97" s="73" t="str">
        <f t="shared" si="165"/>
        <v>#REF!</v>
      </c>
      <c r="F97" s="89" t="str">
        <f t="shared" si="165"/>
        <v>#REF!</v>
      </c>
      <c r="G97" s="90" t="str">
        <f t="shared" si="162"/>
        <v>#REF!</v>
      </c>
      <c r="H97" s="91" t="str">
        <f t="shared" si="163"/>
        <v>#REF!</v>
      </c>
      <c r="I97" s="92" t="str">
        <f t="shared" si="164"/>
        <v>#REF!</v>
      </c>
      <c r="BR97" s="3"/>
      <c r="BS97" s="3"/>
    </row>
    <row r="98" ht="12.0" customHeight="1">
      <c r="A98" s="66" t="s">
        <v>61</v>
      </c>
      <c r="B98" s="84">
        <f>COUNTIF(C4:C70,"*Liberty*")</f>
        <v>0</v>
      </c>
      <c r="D98" s="88" t="str">
        <f t="shared" ref="D98:F98" si="166">SUM('Oct 24:Sept 25'!D98)</f>
        <v>#REF!</v>
      </c>
      <c r="E98" s="73" t="str">
        <f t="shared" si="166"/>
        <v>#REF!</v>
      </c>
      <c r="F98" s="89" t="str">
        <f t="shared" si="166"/>
        <v>#REF!</v>
      </c>
      <c r="G98" s="90" t="str">
        <f t="shared" si="162"/>
        <v>#REF!</v>
      </c>
      <c r="H98" s="91" t="str">
        <f t="shared" si="163"/>
        <v>#REF!</v>
      </c>
      <c r="I98" s="92" t="str">
        <f t="shared" si="164"/>
        <v>#REF!</v>
      </c>
      <c r="BR98" s="3"/>
      <c r="BS98" s="3"/>
    </row>
    <row r="99" ht="12.0" customHeight="1">
      <c r="A99" s="66" t="s">
        <v>62</v>
      </c>
      <c r="B99" s="84">
        <f>COUNTIF(C4:C70,"*Freedom*")</f>
        <v>0</v>
      </c>
      <c r="D99" s="88" t="str">
        <f t="shared" ref="D99:F99" si="167">SUM('Oct 24:Sept 25'!D99)</f>
        <v>#REF!</v>
      </c>
      <c r="E99" s="73" t="str">
        <f t="shared" si="167"/>
        <v>#REF!</v>
      </c>
      <c r="F99" s="89" t="str">
        <f t="shared" si="167"/>
        <v>#REF!</v>
      </c>
      <c r="G99" s="90" t="str">
        <f t="shared" si="162"/>
        <v>#REF!</v>
      </c>
      <c r="H99" s="91" t="str">
        <f t="shared" si="163"/>
        <v>#REF!</v>
      </c>
      <c r="I99" s="92" t="str">
        <f t="shared" si="164"/>
        <v>#REF!</v>
      </c>
      <c r="BR99" s="3"/>
      <c r="BS99" s="3"/>
    </row>
    <row r="100" ht="12.0" customHeight="1">
      <c r="A100" s="66" t="s">
        <v>63</v>
      </c>
      <c r="B100" s="84">
        <f>COUNTIF(C4:C70,"*Elation*")</f>
        <v>0</v>
      </c>
      <c r="D100" s="88" t="str">
        <f t="shared" ref="D100:F100" si="168">SUM('Oct 24:Sept 25'!D100)</f>
        <v>#REF!</v>
      </c>
      <c r="E100" s="73" t="str">
        <f t="shared" si="168"/>
        <v>#REF!</v>
      </c>
      <c r="F100" s="89" t="str">
        <f t="shared" si="168"/>
        <v>#REF!</v>
      </c>
      <c r="G100" s="90" t="str">
        <f t="shared" si="162"/>
        <v>#REF!</v>
      </c>
      <c r="H100" s="91" t="str">
        <f t="shared" si="163"/>
        <v>#REF!</v>
      </c>
      <c r="I100" s="92" t="str">
        <f t="shared" si="164"/>
        <v>#REF!</v>
      </c>
      <c r="BR100" s="3"/>
      <c r="BS100" s="3"/>
    </row>
    <row r="101" ht="12.0" customHeight="1">
      <c r="A101" s="66" t="s">
        <v>64</v>
      </c>
      <c r="B101" s="84">
        <f>COUNTIF(C4:C70,"*Pride*")</f>
        <v>0</v>
      </c>
      <c r="D101" s="88" t="str">
        <f t="shared" ref="D101:F101" si="169">SUM('Oct 24:Sept 25'!D101)</f>
        <v>#REF!</v>
      </c>
      <c r="E101" s="73" t="str">
        <f t="shared" si="169"/>
        <v>#REF!</v>
      </c>
      <c r="F101" s="89" t="str">
        <f t="shared" si="169"/>
        <v>#REF!</v>
      </c>
      <c r="G101" s="90" t="str">
        <f t="shared" si="162"/>
        <v>#REF!</v>
      </c>
      <c r="H101" s="91" t="str">
        <f t="shared" si="163"/>
        <v>#REF!</v>
      </c>
      <c r="I101" s="92" t="str">
        <f t="shared" si="164"/>
        <v>#REF!</v>
      </c>
      <c r="BR101" s="3"/>
      <c r="BS101" s="3"/>
    </row>
    <row r="102" ht="12.0" customHeight="1">
      <c r="A102" s="66" t="s">
        <v>65</v>
      </c>
      <c r="B102" s="84">
        <f>COUNTIF(C4:C70,"*Mardi Gras*")</f>
        <v>0</v>
      </c>
      <c r="D102" s="88" t="str">
        <f t="shared" ref="D102:F102" si="170">SUM('Oct 24:Sept 25'!D102)</f>
        <v>#REF!</v>
      </c>
      <c r="E102" s="73" t="str">
        <f t="shared" si="170"/>
        <v>#REF!</v>
      </c>
      <c r="F102" s="89" t="str">
        <f t="shared" si="170"/>
        <v>#REF!</v>
      </c>
      <c r="G102" s="90" t="str">
        <f t="shared" si="162"/>
        <v>#REF!</v>
      </c>
      <c r="H102" s="91" t="str">
        <f t="shared" si="163"/>
        <v>#REF!</v>
      </c>
      <c r="I102" s="92" t="str">
        <f t="shared" si="164"/>
        <v>#REF!</v>
      </c>
      <c r="BR102" s="3"/>
      <c r="BS102" s="3"/>
    </row>
    <row r="103" ht="12.0" customHeight="1">
      <c r="A103" s="66" t="s">
        <v>66</v>
      </c>
      <c r="B103" s="84">
        <f>COUNTIF(C4:C70,"*Celebration*")</f>
        <v>0</v>
      </c>
      <c r="D103" s="88" t="str">
        <f t="shared" ref="D103:F103" si="171">SUM('Oct 24:Sept 25'!D103)</f>
        <v>#REF!</v>
      </c>
      <c r="E103" s="73" t="str">
        <f t="shared" si="171"/>
        <v>#REF!</v>
      </c>
      <c r="F103" s="89" t="str">
        <f t="shared" si="171"/>
        <v>#REF!</v>
      </c>
      <c r="G103" s="90" t="str">
        <f t="shared" si="162"/>
        <v>#REF!</v>
      </c>
      <c r="H103" s="91" t="str">
        <f t="shared" si="163"/>
        <v>#REF!</v>
      </c>
      <c r="I103" s="92" t="str">
        <f t="shared" si="164"/>
        <v>#REF!</v>
      </c>
      <c r="BR103" s="3"/>
      <c r="BS103" s="3"/>
    </row>
    <row r="104" ht="12.0" customHeight="1">
      <c r="A104" s="66" t="s">
        <v>67</v>
      </c>
      <c r="B104" s="84">
        <f>COUNTIF(C4:C70,"*Horizon*")</f>
        <v>0</v>
      </c>
      <c r="D104" s="88" t="str">
        <f t="shared" ref="D104:F104" si="172">SUM('Oct 24:Sept 25'!D104)</f>
        <v>#REF!</v>
      </c>
      <c r="E104" s="73" t="str">
        <f t="shared" si="172"/>
        <v>#REF!</v>
      </c>
      <c r="F104" s="89" t="str">
        <f t="shared" si="172"/>
        <v>#REF!</v>
      </c>
      <c r="G104" s="90" t="str">
        <f t="shared" si="162"/>
        <v>#REF!</v>
      </c>
      <c r="H104" s="91" t="str">
        <f t="shared" si="163"/>
        <v>#REF!</v>
      </c>
      <c r="I104" s="92" t="str">
        <f t="shared" si="164"/>
        <v>#REF!</v>
      </c>
      <c r="BR104" s="3"/>
      <c r="BS104" s="3"/>
    </row>
    <row r="105" ht="12.0" customHeight="1">
      <c r="A105" s="66" t="s">
        <v>68</v>
      </c>
      <c r="B105" s="84">
        <f>COUNTIF(C4:C70,"*Dream*")</f>
        <v>0</v>
      </c>
      <c r="D105" s="88" t="str">
        <f t="shared" ref="D105:F105" si="173">SUM('Oct 24:Sept 25'!D105)</f>
        <v>#REF!</v>
      </c>
      <c r="E105" s="73" t="str">
        <f t="shared" si="173"/>
        <v>#REF!</v>
      </c>
      <c r="F105" s="89" t="str">
        <f t="shared" si="173"/>
        <v>#REF!</v>
      </c>
      <c r="G105" s="90" t="str">
        <f t="shared" si="162"/>
        <v>#REF!</v>
      </c>
      <c r="H105" s="91" t="str">
        <f t="shared" si="163"/>
        <v>#REF!</v>
      </c>
      <c r="I105" s="92" t="str">
        <f t="shared" si="164"/>
        <v>#REF!</v>
      </c>
      <c r="BR105" s="3"/>
      <c r="BS105" s="3"/>
    </row>
    <row r="106" ht="12.0" customHeight="1">
      <c r="A106" s="66" t="s">
        <v>69</v>
      </c>
      <c r="B106" s="84">
        <f>COUNTIF(C4:C70,"*Sunrise*")</f>
        <v>0</v>
      </c>
      <c r="D106" s="88" t="str">
        <f t="shared" ref="D106:F106" si="174">SUM('Oct 24:Sept 25'!D106)</f>
        <v>#REF!</v>
      </c>
      <c r="E106" s="73" t="str">
        <f t="shared" si="174"/>
        <v>#REF!</v>
      </c>
      <c r="F106" s="89" t="str">
        <f t="shared" si="174"/>
        <v>#REF!</v>
      </c>
      <c r="G106" s="90" t="str">
        <f t="shared" si="162"/>
        <v>#REF!</v>
      </c>
      <c r="H106" s="91" t="str">
        <f t="shared" si="163"/>
        <v>#REF!</v>
      </c>
      <c r="I106" s="92" t="str">
        <f t="shared" si="164"/>
        <v>#REF!</v>
      </c>
      <c r="BR106" s="3"/>
      <c r="BS106" s="3"/>
    </row>
    <row r="107" ht="12.0" customHeight="1">
      <c r="A107" s="66" t="s">
        <v>70</v>
      </c>
      <c r="B107" s="84">
        <f>COUNTIF(C4:C70,"*Venezia*")</f>
        <v>0</v>
      </c>
      <c r="D107" s="88" t="str">
        <f t="shared" ref="D107:F107" si="175">SUM('Oct 24:Sept 25'!D107)</f>
        <v>#REF!</v>
      </c>
      <c r="E107" s="73" t="str">
        <f t="shared" si="175"/>
        <v>#REF!</v>
      </c>
      <c r="F107" s="89" t="str">
        <f t="shared" si="175"/>
        <v>#REF!</v>
      </c>
      <c r="G107" s="90" t="str">
        <f t="shared" si="162"/>
        <v>#REF!</v>
      </c>
      <c r="H107" s="91" t="str">
        <f t="shared" si="163"/>
        <v>#REF!</v>
      </c>
      <c r="I107" s="92" t="str">
        <f t="shared" si="164"/>
        <v>#REF!</v>
      </c>
      <c r="BR107" s="3"/>
      <c r="BS107" s="3"/>
    </row>
    <row r="108" ht="12.0" customHeight="1">
      <c r="A108" s="66" t="s">
        <v>71</v>
      </c>
      <c r="B108" s="84">
        <f>COUNTIF(C4:C70,"*Magic*")</f>
        <v>0</v>
      </c>
      <c r="D108" s="88" t="str">
        <f t="shared" ref="D108:F108" si="176">SUM('Oct 24:Sept 25'!D108)</f>
        <v>#REF!</v>
      </c>
      <c r="E108" s="73" t="str">
        <f t="shared" si="176"/>
        <v>#REF!</v>
      </c>
      <c r="F108" s="89" t="str">
        <f t="shared" si="176"/>
        <v>#REF!</v>
      </c>
      <c r="G108" s="90" t="str">
        <f t="shared" si="162"/>
        <v>#REF!</v>
      </c>
      <c r="H108" s="91" t="str">
        <f t="shared" si="163"/>
        <v>#REF!</v>
      </c>
      <c r="I108" s="92" t="str">
        <f t="shared" si="164"/>
        <v>#REF!</v>
      </c>
      <c r="BR108" s="3"/>
      <c r="BS108" s="3"/>
    </row>
    <row r="109" ht="12.0" customHeight="1">
      <c r="A109" s="66" t="s">
        <v>72</v>
      </c>
      <c r="B109" s="84">
        <f>COUNTIF(C4:C70,"*Panorama*")</f>
        <v>0</v>
      </c>
      <c r="D109" s="88" t="str">
        <f t="shared" ref="D109:F109" si="177">SUM('Oct 24:Sept 25'!D109)</f>
        <v>#REF!</v>
      </c>
      <c r="E109" s="73" t="str">
        <f t="shared" si="177"/>
        <v>#REF!</v>
      </c>
      <c r="F109" s="89" t="str">
        <f t="shared" si="177"/>
        <v>#REF!</v>
      </c>
      <c r="G109" s="90" t="str">
        <f t="shared" si="162"/>
        <v>#REF!</v>
      </c>
      <c r="H109" s="91" t="str">
        <f t="shared" si="163"/>
        <v>#REF!</v>
      </c>
      <c r="I109" s="92" t="str">
        <f t="shared" si="164"/>
        <v>#REF!</v>
      </c>
      <c r="BR109" s="3"/>
      <c r="BS109" s="3"/>
    </row>
    <row r="110" ht="12.0" customHeight="1">
      <c r="A110" s="66" t="s">
        <v>73</v>
      </c>
      <c r="B110" s="84">
        <f>COUNTIF(C4:C70,"*Sunshine*")</f>
        <v>0</v>
      </c>
      <c r="D110" s="88" t="str">
        <f t="shared" ref="D110:F110" si="178">SUM('Oct 24:Sept 25'!D110)</f>
        <v>#REF!</v>
      </c>
      <c r="E110" s="73" t="str">
        <f t="shared" si="178"/>
        <v>#REF!</v>
      </c>
      <c r="F110" s="89" t="str">
        <f t="shared" si="178"/>
        <v>#REF!</v>
      </c>
      <c r="G110" s="90" t="str">
        <f t="shared" si="162"/>
        <v>#REF!</v>
      </c>
      <c r="H110" s="91" t="str">
        <f t="shared" si="163"/>
        <v>#REF!</v>
      </c>
      <c r="I110" s="92" t="str">
        <f t="shared" si="164"/>
        <v>#REF!</v>
      </c>
      <c r="BR110" s="3"/>
      <c r="BS110" s="3"/>
    </row>
    <row r="111" ht="12.0" customHeight="1">
      <c r="A111" s="66" t="s">
        <v>74</v>
      </c>
      <c r="B111" s="84">
        <f>COUNTIF(C4:C70,"*Splendor*")</f>
        <v>0</v>
      </c>
      <c r="D111" s="88" t="str">
        <f t="shared" ref="D111:F111" si="179">SUM('Oct 24:Sept 25'!D111)</f>
        <v>#REF!</v>
      </c>
      <c r="E111" s="73" t="str">
        <f t="shared" si="179"/>
        <v>#REF!</v>
      </c>
      <c r="F111" s="89" t="str">
        <f t="shared" si="179"/>
        <v>#REF!</v>
      </c>
      <c r="G111" s="90" t="str">
        <f t="shared" si="162"/>
        <v>#REF!</v>
      </c>
      <c r="H111" s="91" t="str">
        <f t="shared" si="163"/>
        <v>#REF!</v>
      </c>
      <c r="I111" s="92" t="str">
        <f t="shared" si="164"/>
        <v>#REF!</v>
      </c>
      <c r="BR111" s="3"/>
      <c r="BS111" s="3"/>
    </row>
    <row r="112" ht="12.0" customHeight="1">
      <c r="A112" s="66" t="s">
        <v>75</v>
      </c>
      <c r="B112" s="84">
        <f>COUNTIF(C4:C70,"*Legend*")</f>
        <v>0</v>
      </c>
      <c r="D112" s="88" t="str">
        <f t="shared" ref="D112:F112" si="180">SUM('Oct 24:Sept 25'!D112)</f>
        <v>#REF!</v>
      </c>
      <c r="E112" s="73" t="str">
        <f t="shared" si="180"/>
        <v>#REF!</v>
      </c>
      <c r="F112" s="89" t="str">
        <f t="shared" si="180"/>
        <v>#REF!</v>
      </c>
      <c r="G112" s="90" t="str">
        <f t="shared" si="162"/>
        <v>#REF!</v>
      </c>
      <c r="H112" s="91" t="str">
        <f t="shared" si="163"/>
        <v>#REF!</v>
      </c>
      <c r="I112" s="92" t="str">
        <f t="shared" si="164"/>
        <v>#REF!</v>
      </c>
      <c r="BR112" s="3"/>
      <c r="BS112" s="3"/>
    </row>
    <row r="113" ht="12.0" customHeight="1">
      <c r="A113" s="66" t="s">
        <v>76</v>
      </c>
      <c r="B113" s="84">
        <f>COUNTIF(C4:C70,"*Jubilee*")</f>
        <v>0</v>
      </c>
      <c r="D113" s="88" t="str">
        <f t="shared" ref="D113:F113" si="181">SUM('Oct 24:Sept 25'!D113)</f>
        <v>#REF!</v>
      </c>
      <c r="E113" s="73" t="str">
        <f t="shared" si="181"/>
        <v>#REF!</v>
      </c>
      <c r="F113" s="89" t="str">
        <f t="shared" si="181"/>
        <v>#REF!</v>
      </c>
      <c r="G113" s="90" t="str">
        <f t="shared" si="162"/>
        <v>#REF!</v>
      </c>
      <c r="H113" s="91" t="str">
        <f t="shared" si="163"/>
        <v>#REF!</v>
      </c>
      <c r="I113" s="92" t="str">
        <f t="shared" si="164"/>
        <v>#REF!</v>
      </c>
      <c r="BR113" s="3"/>
      <c r="BS113" s="3"/>
    </row>
    <row r="114" ht="12.0" customHeight="1">
      <c r="A114" s="66" t="s">
        <v>77</v>
      </c>
      <c r="B114" s="84">
        <f>COUNTIF(C4:C70,"*Miracle*")</f>
        <v>0</v>
      </c>
      <c r="D114" s="88" t="str">
        <f t="shared" ref="D114:F114" si="182">SUM('Oct 24:Sept 25'!D114)</f>
        <v>#REF!</v>
      </c>
      <c r="E114" s="73" t="str">
        <f t="shared" si="182"/>
        <v>#REF!</v>
      </c>
      <c r="F114" s="89" t="str">
        <f t="shared" si="182"/>
        <v>#REF!</v>
      </c>
      <c r="G114" s="90" t="str">
        <f t="shared" si="162"/>
        <v>#REF!</v>
      </c>
      <c r="H114" s="91" t="str">
        <f t="shared" si="163"/>
        <v>#REF!</v>
      </c>
      <c r="I114" s="92" t="str">
        <f t="shared" si="164"/>
        <v>#REF!</v>
      </c>
      <c r="BR114" s="3"/>
      <c r="BS114" s="3"/>
    </row>
    <row r="115" ht="12.0" customHeight="1">
      <c r="A115" s="66" t="s">
        <v>78</v>
      </c>
      <c r="B115" s="84">
        <f>COUNTIF(C4:C70,"*Firenze*")</f>
        <v>0</v>
      </c>
      <c r="D115" s="88" t="str">
        <f t="shared" ref="D115:F115" si="183">SUM('Oct 24:Sept 25'!D115)</f>
        <v>#REF!</v>
      </c>
      <c r="E115" s="73" t="str">
        <f t="shared" si="183"/>
        <v>#REF!</v>
      </c>
      <c r="F115" s="89" t="str">
        <f t="shared" si="183"/>
        <v>#REF!</v>
      </c>
      <c r="G115" s="90" t="str">
        <f t="shared" si="162"/>
        <v>#REF!</v>
      </c>
      <c r="H115" s="91" t="str">
        <f t="shared" si="163"/>
        <v>#REF!</v>
      </c>
      <c r="I115" s="92" t="str">
        <f t="shared" si="164"/>
        <v>#REF!</v>
      </c>
      <c r="BR115" s="3"/>
      <c r="BS115" s="3"/>
    </row>
    <row r="116" ht="12.0" customHeight="1">
      <c r="A116" s="66" t="s">
        <v>79</v>
      </c>
      <c r="B116" s="84">
        <f>COUNTIF(C4:C70,"*Luminosa*")</f>
        <v>0</v>
      </c>
      <c r="D116" s="88" t="str">
        <f t="shared" ref="D116:F116" si="184">SUM('Oct 24:Sept 25'!D116)</f>
        <v>#REF!</v>
      </c>
      <c r="E116" s="73" t="str">
        <f t="shared" si="184"/>
        <v>#REF!</v>
      </c>
      <c r="F116" s="89" t="str">
        <f t="shared" si="184"/>
        <v>#REF!</v>
      </c>
      <c r="G116" s="90" t="str">
        <f t="shared" si="162"/>
        <v>#REF!</v>
      </c>
      <c r="H116" s="91" t="str">
        <f t="shared" si="163"/>
        <v>#REF!</v>
      </c>
      <c r="I116" s="92" t="str">
        <f t="shared" si="164"/>
        <v>#REF!</v>
      </c>
      <c r="BR116" s="3"/>
      <c r="BS116" s="3"/>
    </row>
    <row r="117" ht="12.0" customHeight="1">
      <c r="A117" s="66" t="s">
        <v>80</v>
      </c>
      <c r="B117" s="84">
        <f>COUNTIF(C4:C70,"*Radiance*")</f>
        <v>0</v>
      </c>
      <c r="D117" s="88" t="str">
        <f t="shared" ref="D117:F117" si="185">SUM('Oct 24:Sept 25'!D117)</f>
        <v>#REF!</v>
      </c>
      <c r="E117" s="73" t="str">
        <f t="shared" si="185"/>
        <v>#REF!</v>
      </c>
      <c r="F117" s="89" t="str">
        <f t="shared" si="185"/>
        <v>#REF!</v>
      </c>
      <c r="G117" s="90" t="str">
        <f t="shared" si="162"/>
        <v>#REF!</v>
      </c>
      <c r="H117" s="91" t="str">
        <f t="shared" si="163"/>
        <v>#REF!</v>
      </c>
      <c r="I117" s="92" t="str">
        <f t="shared" si="164"/>
        <v>#REF!</v>
      </c>
      <c r="BR117" s="3"/>
      <c r="BS117" s="3"/>
    </row>
    <row r="118" ht="12.0" customHeight="1">
      <c r="A118" s="76" t="s">
        <v>81</v>
      </c>
      <c r="B118" s="94">
        <f>COUNTIF(C4:C70,"*Sensation*")</f>
        <v>0</v>
      </c>
      <c r="C118" s="78"/>
      <c r="D118" s="95" t="str">
        <f t="shared" ref="D118:F118" si="186">SUM('Oct 24:Sept 25'!D118)</f>
        <v>#REF!</v>
      </c>
      <c r="E118" s="80" t="str">
        <f t="shared" si="186"/>
        <v>#REF!</v>
      </c>
      <c r="F118" s="96" t="str">
        <f t="shared" si="186"/>
        <v>#REF!</v>
      </c>
      <c r="G118" s="97" t="str">
        <f t="shared" si="162"/>
        <v>#REF!</v>
      </c>
      <c r="H118" s="98" t="str">
        <f t="shared" si="163"/>
        <v>#REF!</v>
      </c>
      <c r="I118" s="99" t="str">
        <f t="shared" si="164"/>
        <v>#REF!</v>
      </c>
      <c r="BR118" s="3"/>
      <c r="BS118" s="3"/>
    </row>
    <row r="119" ht="12.0" customHeight="1">
      <c r="A119" s="1"/>
      <c r="BR119" s="3"/>
      <c r="BS119" s="3"/>
    </row>
    <row r="120" ht="12.0" customHeight="1">
      <c r="A120" s="1"/>
      <c r="BR120" s="3"/>
      <c r="BS120" s="3"/>
    </row>
    <row r="121" ht="12.0" customHeight="1">
      <c r="A121" s="1"/>
      <c r="BR121" s="3"/>
      <c r="BS121" s="3"/>
    </row>
    <row r="122" ht="12.0" customHeight="1">
      <c r="A122" s="1"/>
      <c r="BR122" s="3"/>
      <c r="BS122" s="3"/>
    </row>
    <row r="123" ht="12.0" customHeight="1">
      <c r="A123" s="1"/>
      <c r="BR123" s="3"/>
      <c r="BS123" s="3"/>
    </row>
    <row r="124" ht="12.0" customHeight="1">
      <c r="A124" s="1"/>
      <c r="BR124" s="3"/>
      <c r="BS124" s="3"/>
    </row>
    <row r="125" ht="12.0" customHeight="1">
      <c r="A125" s="1"/>
      <c r="BR125" s="3"/>
      <c r="BS125" s="3"/>
    </row>
    <row r="126" ht="12.0" customHeight="1">
      <c r="A126" s="1"/>
      <c r="BR126" s="3"/>
      <c r="BS126" s="3"/>
    </row>
    <row r="127" ht="12.0" customHeight="1">
      <c r="A127" s="1"/>
      <c r="BR127" s="3"/>
      <c r="BS127" s="3"/>
    </row>
    <row r="128" ht="12.0" customHeight="1">
      <c r="A128" s="1"/>
      <c r="BR128" s="3"/>
      <c r="BS128" s="3"/>
    </row>
    <row r="129" ht="12.0" customHeight="1">
      <c r="A129" s="1"/>
      <c r="BR129" s="3"/>
      <c r="BS129" s="3"/>
    </row>
    <row r="130" ht="12.0" customHeight="1">
      <c r="A130" s="1"/>
      <c r="BR130" s="3"/>
      <c r="BS130" s="3"/>
    </row>
    <row r="131" ht="12.0" customHeight="1">
      <c r="A131" s="1"/>
      <c r="BR131" s="3"/>
      <c r="BS131" s="3"/>
    </row>
    <row r="132" ht="12.0" customHeight="1">
      <c r="A132" s="1"/>
      <c r="BR132" s="3"/>
      <c r="BS132" s="3"/>
    </row>
    <row r="133" ht="12.0" customHeight="1">
      <c r="A133" s="1"/>
      <c r="BR133" s="3"/>
      <c r="BS133" s="3"/>
    </row>
    <row r="134" ht="12.0" customHeight="1">
      <c r="A134" s="1"/>
      <c r="BR134" s="3"/>
      <c r="BS134" s="3"/>
    </row>
    <row r="135" ht="12.0" customHeight="1">
      <c r="A135" s="1"/>
      <c r="BR135" s="3"/>
      <c r="BS135" s="3"/>
    </row>
    <row r="136" ht="12.0" customHeight="1">
      <c r="A136" s="1"/>
      <c r="BR136" s="3"/>
      <c r="BS136" s="3"/>
    </row>
    <row r="137" ht="12.0" customHeight="1">
      <c r="A137" s="1"/>
      <c r="BR137" s="3"/>
      <c r="BS137" s="3"/>
    </row>
    <row r="138" ht="12.0" customHeight="1">
      <c r="A138" s="1"/>
      <c r="BR138" s="3"/>
      <c r="BS138" s="3"/>
    </row>
    <row r="139" ht="12.0" customHeight="1">
      <c r="A139" s="1"/>
      <c r="BR139" s="3"/>
      <c r="BS139" s="3"/>
    </row>
    <row r="140" ht="12.0" customHeight="1">
      <c r="A140" s="1"/>
      <c r="BR140" s="3"/>
      <c r="BS140" s="3"/>
    </row>
    <row r="141" ht="12.0" customHeight="1">
      <c r="A141" s="1"/>
      <c r="BR141" s="3"/>
      <c r="BS141" s="3"/>
    </row>
    <row r="142" ht="12.0" customHeight="1">
      <c r="A142" s="1"/>
      <c r="BR142" s="3"/>
      <c r="BS142" s="3"/>
    </row>
    <row r="143" ht="12.0" customHeight="1">
      <c r="A143" s="1"/>
      <c r="BR143" s="3"/>
      <c r="BS143" s="3"/>
    </row>
    <row r="144" ht="12.0" customHeight="1">
      <c r="A144" s="1"/>
      <c r="BR144" s="3"/>
      <c r="BS144" s="3"/>
    </row>
    <row r="145" ht="12.0" customHeight="1">
      <c r="A145" s="1"/>
      <c r="BR145" s="3"/>
      <c r="BS145" s="3"/>
    </row>
    <row r="146" ht="12.0" customHeight="1">
      <c r="A146" s="1"/>
      <c r="BR146" s="3"/>
      <c r="BS146" s="3"/>
    </row>
    <row r="147" ht="12.0" customHeight="1">
      <c r="A147" s="1"/>
      <c r="BR147" s="3"/>
      <c r="BS147" s="3"/>
    </row>
    <row r="148" ht="12.0" customHeight="1">
      <c r="A148" s="1"/>
      <c r="BR148" s="3"/>
      <c r="BS148" s="3"/>
    </row>
    <row r="149" ht="12.0" customHeight="1">
      <c r="A149" s="1"/>
      <c r="BR149" s="3"/>
      <c r="BS149" s="3"/>
    </row>
    <row r="150" ht="12.0" customHeight="1">
      <c r="A150" s="1"/>
      <c r="BR150" s="3"/>
      <c r="BS150" s="3"/>
    </row>
    <row r="151" ht="12.0" customHeight="1">
      <c r="A151" s="1"/>
      <c r="BR151" s="3"/>
      <c r="BS151" s="3"/>
    </row>
    <row r="152" ht="12.0" customHeight="1">
      <c r="A152" s="1"/>
      <c r="BR152" s="3"/>
      <c r="BS152" s="3"/>
    </row>
    <row r="153" ht="12.0" customHeight="1">
      <c r="A153" s="1"/>
      <c r="BR153" s="3"/>
      <c r="BS153" s="3"/>
    </row>
    <row r="154" ht="12.0" customHeight="1">
      <c r="A154" s="1"/>
      <c r="BR154" s="3"/>
      <c r="BS154" s="3"/>
    </row>
    <row r="155" ht="12.0" customHeight="1">
      <c r="A155" s="1"/>
      <c r="BR155" s="3"/>
      <c r="BS155" s="3"/>
    </row>
    <row r="156" ht="12.0" customHeight="1">
      <c r="A156" s="1"/>
      <c r="BR156" s="3"/>
      <c r="BS156" s="3"/>
    </row>
    <row r="157" ht="12.0" customHeight="1">
      <c r="A157" s="1"/>
      <c r="BR157" s="3"/>
      <c r="BS157" s="3"/>
    </row>
    <row r="158" ht="12.0" customHeight="1">
      <c r="A158" s="1"/>
      <c r="BR158" s="3"/>
      <c r="BS158" s="3"/>
    </row>
    <row r="159" ht="12.0" customHeight="1">
      <c r="A159" s="1"/>
      <c r="BR159" s="3"/>
      <c r="BS159" s="3"/>
    </row>
    <row r="160" ht="12.0" customHeight="1">
      <c r="A160" s="1"/>
      <c r="BR160" s="3"/>
      <c r="BS160" s="3"/>
    </row>
    <row r="161" ht="12.0" customHeight="1">
      <c r="A161" s="1"/>
      <c r="BR161" s="3"/>
      <c r="BS161" s="3"/>
    </row>
    <row r="162" ht="12.0" customHeight="1">
      <c r="A162" s="1"/>
      <c r="BR162" s="3"/>
      <c r="BS162" s="3"/>
    </row>
    <row r="163" ht="12.0" customHeight="1">
      <c r="A163" s="1"/>
      <c r="BR163" s="3"/>
      <c r="BS163" s="3"/>
    </row>
    <row r="164" ht="12.0" customHeight="1">
      <c r="A164" s="1"/>
      <c r="BR164" s="3"/>
      <c r="BS164" s="3"/>
    </row>
    <row r="165" ht="12.0" customHeight="1">
      <c r="A165" s="1"/>
      <c r="BR165" s="3"/>
      <c r="BS165" s="3"/>
    </row>
    <row r="166" ht="12.0" customHeight="1">
      <c r="A166" s="1"/>
      <c r="BR166" s="3"/>
      <c r="BS166" s="3"/>
    </row>
    <row r="167" ht="12.0" customHeight="1">
      <c r="A167" s="1"/>
      <c r="BR167" s="3"/>
      <c r="BS167" s="3"/>
    </row>
    <row r="168" ht="12.0" customHeight="1">
      <c r="A168" s="1"/>
      <c r="BR168" s="3"/>
      <c r="BS168" s="3"/>
    </row>
    <row r="169" ht="12.0" customHeight="1">
      <c r="A169" s="1"/>
      <c r="BR169" s="3"/>
      <c r="BS169" s="3"/>
    </row>
    <row r="170" ht="12.0" customHeight="1">
      <c r="A170" s="1"/>
      <c r="BR170" s="3"/>
      <c r="BS170" s="3"/>
    </row>
    <row r="171" ht="12.0" customHeight="1">
      <c r="A171" s="1"/>
      <c r="BR171" s="3"/>
      <c r="BS171" s="3"/>
    </row>
    <row r="172" ht="12.0" customHeight="1">
      <c r="A172" s="1"/>
      <c r="BR172" s="3"/>
      <c r="BS172" s="3"/>
    </row>
    <row r="173" ht="12.0" customHeight="1">
      <c r="A173" s="1"/>
      <c r="BR173" s="3"/>
      <c r="BS173" s="3"/>
    </row>
    <row r="174" ht="12.0" customHeight="1">
      <c r="A174" s="1"/>
      <c r="BR174" s="3"/>
      <c r="BS174" s="3"/>
    </row>
    <row r="175" ht="12.0" customHeight="1">
      <c r="A175" s="1"/>
      <c r="BR175" s="3"/>
      <c r="BS175" s="3"/>
    </row>
    <row r="176" ht="12.0" customHeight="1">
      <c r="A176" s="1"/>
      <c r="BR176" s="3"/>
      <c r="BS176" s="3"/>
    </row>
    <row r="177" ht="12.0" customHeight="1">
      <c r="A177" s="1"/>
      <c r="BR177" s="3"/>
      <c r="BS177" s="3"/>
    </row>
    <row r="178" ht="12.0" customHeight="1">
      <c r="A178" s="1"/>
      <c r="BR178" s="3"/>
      <c r="BS178" s="3"/>
    </row>
    <row r="179" ht="12.0" customHeight="1">
      <c r="A179" s="1"/>
      <c r="BR179" s="3"/>
      <c r="BS179" s="3"/>
    </row>
    <row r="180" ht="12.0" customHeight="1">
      <c r="A180" s="1"/>
      <c r="BR180" s="3"/>
      <c r="BS180" s="3"/>
    </row>
    <row r="181" ht="12.0" customHeight="1">
      <c r="A181" s="1"/>
      <c r="BR181" s="3"/>
      <c r="BS181" s="3"/>
    </row>
    <row r="182" ht="12.0" customHeight="1">
      <c r="A182" s="1"/>
      <c r="BR182" s="3"/>
      <c r="BS182" s="3"/>
    </row>
    <row r="183" ht="12.0" customHeight="1">
      <c r="A183" s="1"/>
      <c r="BR183" s="3"/>
      <c r="BS183" s="3"/>
    </row>
    <row r="184" ht="12.0" customHeight="1">
      <c r="A184" s="1"/>
      <c r="BR184" s="3"/>
      <c r="BS184" s="3"/>
    </row>
    <row r="185" ht="12.0" customHeight="1">
      <c r="A185" s="1"/>
      <c r="BR185" s="3"/>
      <c r="BS185" s="3"/>
    </row>
    <row r="186" ht="12.0" customHeight="1">
      <c r="A186" s="1"/>
      <c r="BR186" s="3"/>
      <c r="BS186" s="3"/>
    </row>
    <row r="187" ht="12.0" customHeight="1">
      <c r="A187" s="1"/>
      <c r="BR187" s="3"/>
      <c r="BS187" s="3"/>
    </row>
    <row r="188" ht="12.0" customHeight="1">
      <c r="A188" s="1"/>
      <c r="BR188" s="3"/>
      <c r="BS188" s="3"/>
    </row>
    <row r="189" ht="12.0" customHeight="1">
      <c r="A189" s="1"/>
      <c r="BR189" s="3"/>
      <c r="BS189" s="3"/>
    </row>
    <row r="190" ht="12.0" customHeight="1">
      <c r="A190" s="1"/>
      <c r="BR190" s="3"/>
      <c r="BS190" s="3"/>
    </row>
    <row r="191" ht="12.0" customHeight="1">
      <c r="A191" s="1"/>
      <c r="BR191" s="3"/>
      <c r="BS191" s="3"/>
    </row>
    <row r="192" ht="12.0" customHeight="1">
      <c r="A192" s="1"/>
      <c r="BR192" s="3"/>
      <c r="BS192" s="3"/>
    </row>
    <row r="193" ht="12.0" customHeight="1">
      <c r="A193" s="1"/>
      <c r="BR193" s="3"/>
      <c r="BS193" s="3"/>
    </row>
    <row r="194" ht="12.0" customHeight="1">
      <c r="A194" s="1"/>
      <c r="BR194" s="3"/>
      <c r="BS194" s="3"/>
    </row>
    <row r="195" ht="12.0" customHeight="1">
      <c r="A195" s="1"/>
      <c r="BR195" s="3"/>
      <c r="BS195" s="3"/>
    </row>
    <row r="196" ht="12.0" customHeight="1">
      <c r="A196" s="1"/>
      <c r="BR196" s="3"/>
      <c r="BS196" s="3"/>
    </row>
    <row r="197" ht="12.0" customHeight="1">
      <c r="A197" s="1"/>
      <c r="BR197" s="3"/>
      <c r="BS197" s="3"/>
    </row>
    <row r="198" ht="12.0" customHeight="1">
      <c r="A198" s="1"/>
      <c r="BR198" s="3"/>
      <c r="BS198" s="3"/>
    </row>
    <row r="199" ht="12.0" customHeight="1">
      <c r="A199" s="1"/>
      <c r="BR199" s="3"/>
      <c r="BS199" s="3"/>
    </row>
    <row r="200" ht="12.0" customHeight="1">
      <c r="A200" s="1"/>
      <c r="BR200" s="3"/>
      <c r="BS200" s="3"/>
    </row>
    <row r="201" ht="12.0" customHeight="1">
      <c r="A201" s="1"/>
      <c r="BR201" s="3"/>
      <c r="BS201" s="3"/>
    </row>
    <row r="202" ht="12.0" customHeight="1">
      <c r="A202" s="1"/>
      <c r="BR202" s="3"/>
      <c r="BS202" s="3"/>
    </row>
    <row r="203" ht="12.0" customHeight="1">
      <c r="A203" s="1"/>
      <c r="BR203" s="3"/>
      <c r="BS203" s="3"/>
    </row>
    <row r="204" ht="12.0" customHeight="1">
      <c r="A204" s="1"/>
      <c r="BR204" s="3"/>
      <c r="BS204" s="3"/>
    </row>
    <row r="205" ht="12.0" customHeight="1">
      <c r="A205" s="1"/>
      <c r="BR205" s="3"/>
      <c r="BS205" s="3"/>
    </row>
    <row r="206" ht="12.0" customHeight="1">
      <c r="A206" s="1"/>
      <c r="BR206" s="3"/>
      <c r="BS206" s="3"/>
    </row>
    <row r="207" ht="12.0" customHeight="1">
      <c r="A207" s="1"/>
      <c r="BR207" s="3"/>
      <c r="BS207" s="3"/>
    </row>
    <row r="208" ht="12.0" customHeight="1">
      <c r="A208" s="1"/>
      <c r="BR208" s="3"/>
      <c r="BS208" s="3"/>
    </row>
    <row r="209" ht="12.0" customHeight="1">
      <c r="A209" s="1"/>
      <c r="BR209" s="3"/>
      <c r="BS209" s="3"/>
    </row>
    <row r="210" ht="12.0" customHeight="1">
      <c r="A210" s="1"/>
      <c r="BR210" s="3"/>
      <c r="BS210" s="3"/>
    </row>
    <row r="211" ht="12.0" customHeight="1">
      <c r="A211" s="1"/>
      <c r="BR211" s="3"/>
      <c r="BS211" s="3"/>
    </row>
    <row r="212" ht="12.0" customHeight="1">
      <c r="A212" s="1"/>
      <c r="BR212" s="3"/>
      <c r="BS212" s="3"/>
    </row>
    <row r="213" ht="12.0" customHeight="1">
      <c r="A213" s="1"/>
      <c r="BR213" s="3"/>
      <c r="BS213" s="3"/>
    </row>
    <row r="214" ht="12.0" customHeight="1">
      <c r="A214" s="1"/>
      <c r="BR214" s="3"/>
      <c r="BS214" s="3"/>
    </row>
    <row r="215" ht="12.0" customHeight="1">
      <c r="A215" s="1"/>
      <c r="BR215" s="3"/>
      <c r="BS215" s="3"/>
    </row>
    <row r="216" ht="12.0" customHeight="1">
      <c r="A216" s="1"/>
      <c r="BR216" s="3"/>
      <c r="BS216" s="3"/>
    </row>
    <row r="217" ht="12.0" customHeight="1">
      <c r="A217" s="1"/>
      <c r="BR217" s="3"/>
      <c r="BS217" s="3"/>
    </row>
    <row r="218" ht="12.0" customHeight="1">
      <c r="A218" s="1"/>
      <c r="BR218" s="3"/>
      <c r="BS218" s="3"/>
    </row>
    <row r="219" ht="12.0" customHeight="1">
      <c r="A219" s="1"/>
      <c r="BR219" s="3"/>
      <c r="BS219" s="3"/>
    </row>
    <row r="220" ht="12.0" customHeight="1">
      <c r="A220" s="1"/>
      <c r="BR220" s="3"/>
      <c r="BS220" s="3"/>
    </row>
    <row r="221" ht="12.0" customHeight="1">
      <c r="A221" s="1"/>
      <c r="BR221" s="3"/>
      <c r="BS221" s="3"/>
    </row>
    <row r="222" ht="12.0" customHeight="1">
      <c r="A222" s="1"/>
      <c r="BR222" s="3"/>
      <c r="BS222" s="3"/>
    </row>
    <row r="223" ht="12.0" customHeight="1">
      <c r="A223" s="1"/>
      <c r="BR223" s="3"/>
      <c r="BS223" s="3"/>
    </row>
    <row r="224" ht="12.0" customHeight="1">
      <c r="A224" s="1"/>
      <c r="BR224" s="3"/>
      <c r="BS224" s="3"/>
    </row>
    <row r="225" ht="12.0" customHeight="1">
      <c r="A225" s="1"/>
      <c r="BR225" s="3"/>
      <c r="BS225" s="3"/>
    </row>
    <row r="226" ht="12.0" customHeight="1">
      <c r="A226" s="1"/>
      <c r="BR226" s="3"/>
      <c r="BS226" s="3"/>
    </row>
    <row r="227" ht="12.0" customHeight="1">
      <c r="A227" s="1"/>
      <c r="BR227" s="3"/>
      <c r="BS227" s="3"/>
    </row>
    <row r="228" ht="12.0" customHeight="1">
      <c r="A228" s="1"/>
      <c r="BR228" s="3"/>
      <c r="BS228" s="3"/>
    </row>
    <row r="229" ht="12.0" customHeight="1">
      <c r="A229" s="1"/>
      <c r="BR229" s="3"/>
      <c r="BS229" s="3"/>
    </row>
    <row r="230" ht="12.0" customHeight="1">
      <c r="A230" s="1"/>
      <c r="BR230" s="3"/>
      <c r="BS230" s="3"/>
    </row>
    <row r="231" ht="12.0" customHeight="1">
      <c r="A231" s="1"/>
      <c r="BR231" s="3"/>
      <c r="BS231" s="3"/>
    </row>
    <row r="232" ht="12.0" customHeight="1">
      <c r="A232" s="1"/>
      <c r="BR232" s="3"/>
      <c r="BS232" s="3"/>
    </row>
    <row r="233" ht="12.0" customHeight="1">
      <c r="A233" s="1"/>
      <c r="BR233" s="3"/>
      <c r="BS233" s="3"/>
    </row>
    <row r="234" ht="12.0" customHeight="1">
      <c r="A234" s="1"/>
      <c r="BR234" s="3"/>
      <c r="BS234" s="3"/>
    </row>
    <row r="235" ht="12.0" customHeight="1">
      <c r="A235" s="1"/>
      <c r="BR235" s="3"/>
      <c r="BS235" s="3"/>
    </row>
    <row r="236" ht="12.0" customHeight="1">
      <c r="A236" s="1"/>
      <c r="BR236" s="3"/>
      <c r="BS236" s="3"/>
    </row>
    <row r="237" ht="12.0" customHeight="1">
      <c r="A237" s="1"/>
      <c r="BR237" s="3"/>
      <c r="BS237" s="3"/>
    </row>
    <row r="238" ht="12.0" customHeight="1">
      <c r="A238" s="1"/>
      <c r="BR238" s="3"/>
      <c r="BS238" s="3"/>
    </row>
    <row r="239" ht="12.0" customHeight="1">
      <c r="A239" s="1"/>
      <c r="BR239" s="3"/>
      <c r="BS239" s="3"/>
    </row>
    <row r="240" ht="12.0" customHeight="1">
      <c r="A240" s="1"/>
      <c r="BR240" s="3"/>
      <c r="BS240" s="3"/>
    </row>
    <row r="241" ht="12.0" customHeight="1">
      <c r="A241" s="1"/>
      <c r="BR241" s="3"/>
      <c r="BS241" s="3"/>
    </row>
    <row r="242" ht="12.0" customHeight="1">
      <c r="A242" s="1"/>
      <c r="BR242" s="3"/>
      <c r="BS242" s="3"/>
    </row>
    <row r="243" ht="12.0" customHeight="1">
      <c r="A243" s="1"/>
      <c r="BR243" s="3"/>
      <c r="BS243" s="3"/>
    </row>
    <row r="244" ht="12.0" customHeight="1">
      <c r="A244" s="1"/>
      <c r="BR244" s="3"/>
      <c r="BS244" s="3"/>
    </row>
    <row r="245" ht="12.0" customHeight="1">
      <c r="A245" s="1"/>
      <c r="BR245" s="3"/>
      <c r="BS245" s="3"/>
    </row>
    <row r="246" ht="12.0" customHeight="1">
      <c r="A246" s="1"/>
      <c r="BR246" s="3"/>
      <c r="BS246" s="3"/>
    </row>
    <row r="247" ht="12.0" customHeight="1">
      <c r="A247" s="1"/>
      <c r="BR247" s="3"/>
      <c r="BS247" s="3"/>
    </row>
    <row r="248" ht="12.0" customHeight="1">
      <c r="A248" s="1"/>
      <c r="BR248" s="3"/>
      <c r="BS248" s="3"/>
    </row>
    <row r="249" ht="12.0" customHeight="1">
      <c r="A249" s="1"/>
      <c r="BR249" s="3"/>
      <c r="BS249" s="3"/>
    </row>
    <row r="250" ht="12.0" customHeight="1">
      <c r="A250" s="1"/>
      <c r="BR250" s="3"/>
      <c r="BS250" s="3"/>
    </row>
    <row r="251" ht="12.0" customHeight="1">
      <c r="A251" s="1"/>
      <c r="BR251" s="3"/>
      <c r="BS251" s="3"/>
    </row>
    <row r="252" ht="12.0" customHeight="1">
      <c r="A252" s="1"/>
      <c r="BR252" s="3"/>
      <c r="BS252" s="3"/>
    </row>
    <row r="253" ht="12.0" customHeight="1">
      <c r="A253" s="1"/>
      <c r="BR253" s="3"/>
      <c r="BS253" s="3"/>
    </row>
    <row r="254" ht="12.0" customHeight="1">
      <c r="A254" s="1"/>
      <c r="BR254" s="3"/>
      <c r="BS254" s="3"/>
    </row>
    <row r="255" ht="12.0" customHeight="1">
      <c r="A255" s="1"/>
      <c r="BR255" s="3"/>
      <c r="BS255" s="3"/>
    </row>
    <row r="256" ht="12.0" customHeight="1">
      <c r="A256" s="1"/>
      <c r="BR256" s="3"/>
      <c r="BS256" s="3"/>
    </row>
    <row r="257" ht="12.0" customHeight="1">
      <c r="A257" s="1"/>
      <c r="BR257" s="3"/>
      <c r="BS257" s="3"/>
    </row>
    <row r="258" ht="12.0" customHeight="1">
      <c r="A258" s="1"/>
      <c r="BR258" s="3"/>
      <c r="BS258" s="3"/>
    </row>
    <row r="259" ht="12.0" customHeight="1">
      <c r="A259" s="1"/>
      <c r="BR259" s="3"/>
      <c r="BS259" s="3"/>
    </row>
    <row r="260" ht="12.0" customHeight="1">
      <c r="A260" s="1"/>
      <c r="BR260" s="3"/>
      <c r="BS260" s="3"/>
    </row>
    <row r="261" ht="12.0" customHeight="1">
      <c r="A261" s="1"/>
      <c r="BR261" s="3"/>
      <c r="BS261" s="3"/>
    </row>
    <row r="262" ht="12.0" customHeight="1">
      <c r="A262" s="1"/>
      <c r="BR262" s="3"/>
      <c r="BS262" s="3"/>
    </row>
    <row r="263" ht="12.0" customHeight="1">
      <c r="A263" s="1"/>
      <c r="BR263" s="3"/>
      <c r="BS263" s="3"/>
    </row>
    <row r="264" ht="12.0" customHeight="1">
      <c r="A264" s="1"/>
      <c r="BR264" s="3"/>
      <c r="BS264" s="3"/>
    </row>
    <row r="265" ht="12.0" customHeight="1">
      <c r="A265" s="1"/>
      <c r="BR265" s="3"/>
      <c r="BS265" s="3"/>
    </row>
    <row r="266" ht="12.0" customHeight="1">
      <c r="A266" s="1"/>
      <c r="BR266" s="3"/>
      <c r="BS266" s="3"/>
    </row>
    <row r="267" ht="12.0" customHeight="1">
      <c r="A267" s="1"/>
      <c r="BR267" s="3"/>
      <c r="BS267" s="3"/>
    </row>
    <row r="268" ht="12.0" customHeight="1">
      <c r="A268" s="1"/>
      <c r="BR268" s="3"/>
      <c r="BS268" s="3"/>
    </row>
    <row r="269" ht="12.0" customHeight="1">
      <c r="A269" s="1"/>
      <c r="BR269" s="3"/>
      <c r="BS269" s="3"/>
    </row>
    <row r="270" ht="12.0" customHeight="1">
      <c r="A270" s="1"/>
      <c r="BR270" s="3"/>
      <c r="BS270" s="3"/>
    </row>
    <row r="271" ht="12.0" customHeight="1">
      <c r="A271" s="1"/>
      <c r="BR271" s="3"/>
      <c r="BS271" s="3"/>
    </row>
    <row r="272" ht="12.0" customHeight="1">
      <c r="A272" s="1"/>
      <c r="BR272" s="3"/>
      <c r="BS272" s="3"/>
    </row>
    <row r="273" ht="12.0" customHeight="1">
      <c r="A273" s="1"/>
      <c r="BR273" s="3"/>
      <c r="BS273" s="3"/>
    </row>
    <row r="274" ht="12.0" customHeight="1">
      <c r="A274" s="1"/>
      <c r="BR274" s="3"/>
      <c r="BS274" s="3"/>
    </row>
    <row r="275" ht="12.0" customHeight="1">
      <c r="A275" s="1"/>
      <c r="BR275" s="3"/>
      <c r="BS275" s="3"/>
    </row>
    <row r="276" ht="12.0" customHeight="1">
      <c r="A276" s="1"/>
      <c r="BR276" s="3"/>
      <c r="BS276" s="3"/>
    </row>
    <row r="277" ht="12.0" customHeight="1">
      <c r="A277" s="1"/>
      <c r="BR277" s="3"/>
      <c r="BS277" s="3"/>
    </row>
    <row r="278" ht="12.0" customHeight="1">
      <c r="A278" s="1"/>
      <c r="BR278" s="3"/>
      <c r="BS278" s="3"/>
    </row>
    <row r="279" ht="12.0" customHeight="1">
      <c r="A279" s="1"/>
      <c r="BR279" s="3"/>
      <c r="BS279" s="3"/>
    </row>
    <row r="280" ht="12.0" customHeight="1">
      <c r="A280" s="1"/>
      <c r="BR280" s="3"/>
      <c r="BS280" s="3"/>
    </row>
    <row r="281" ht="12.0" customHeight="1">
      <c r="A281" s="1"/>
      <c r="BR281" s="3"/>
      <c r="BS281" s="3"/>
    </row>
    <row r="282" ht="12.0" customHeight="1">
      <c r="A282" s="1"/>
      <c r="BR282" s="3"/>
      <c r="BS282" s="3"/>
    </row>
    <row r="283" ht="12.0" customHeight="1">
      <c r="A283" s="1"/>
      <c r="BR283" s="3"/>
      <c r="BS283" s="3"/>
    </row>
    <row r="284" ht="12.0" customHeight="1">
      <c r="A284" s="1"/>
      <c r="BR284" s="3"/>
      <c r="BS284" s="3"/>
    </row>
    <row r="285" ht="12.0" customHeight="1">
      <c r="A285" s="1"/>
      <c r="BR285" s="3"/>
      <c r="BS285" s="3"/>
    </row>
    <row r="286" ht="12.0" customHeight="1">
      <c r="A286" s="1"/>
      <c r="BR286" s="3"/>
      <c r="BS286" s="3"/>
    </row>
    <row r="287" ht="12.0" customHeight="1">
      <c r="A287" s="1"/>
      <c r="BR287" s="3"/>
      <c r="BS287" s="3"/>
    </row>
    <row r="288" ht="12.0" customHeight="1">
      <c r="A288" s="1"/>
      <c r="BR288" s="3"/>
      <c r="BS288" s="3"/>
    </row>
    <row r="289" ht="12.0" customHeight="1">
      <c r="A289" s="1"/>
      <c r="BR289" s="3"/>
      <c r="BS289" s="3"/>
    </row>
    <row r="290" ht="12.0" customHeight="1">
      <c r="A290" s="1"/>
      <c r="BR290" s="3"/>
      <c r="BS290" s="3"/>
    </row>
    <row r="291" ht="12.0" customHeight="1">
      <c r="A291" s="1"/>
      <c r="BR291" s="3"/>
      <c r="BS291" s="3"/>
    </row>
    <row r="292" ht="12.0" customHeight="1">
      <c r="A292" s="1"/>
      <c r="BR292" s="3"/>
      <c r="BS292" s="3"/>
    </row>
    <row r="293" ht="12.0" customHeight="1">
      <c r="A293" s="1"/>
      <c r="BR293" s="3"/>
      <c r="BS293" s="3"/>
    </row>
    <row r="294" ht="12.0" customHeight="1">
      <c r="A294" s="1"/>
      <c r="BR294" s="3"/>
      <c r="BS294" s="3"/>
    </row>
    <row r="295" ht="12.0" customHeight="1">
      <c r="A295" s="1"/>
      <c r="BR295" s="3"/>
      <c r="BS295" s="3"/>
    </row>
    <row r="296" ht="12.0" customHeight="1">
      <c r="A296" s="1"/>
      <c r="BR296" s="3"/>
      <c r="BS296" s="3"/>
    </row>
    <row r="297" ht="12.0" customHeight="1">
      <c r="A297" s="1"/>
      <c r="BR297" s="3"/>
      <c r="BS297" s="3"/>
    </row>
    <row r="298" ht="12.0" customHeight="1">
      <c r="A298" s="1"/>
      <c r="BR298" s="3"/>
      <c r="BS298" s="3"/>
    </row>
    <row r="299" ht="12.0" customHeight="1">
      <c r="A299" s="1"/>
      <c r="BR299" s="3"/>
      <c r="BS299" s="3"/>
    </row>
    <row r="300" ht="12.0" customHeight="1">
      <c r="A300" s="1"/>
      <c r="BR300" s="3"/>
      <c r="BS300" s="3"/>
    </row>
    <row r="301" ht="12.0" customHeight="1">
      <c r="A301" s="1"/>
      <c r="BR301" s="3"/>
      <c r="BS301" s="3"/>
    </row>
    <row r="302" ht="12.0" customHeight="1">
      <c r="A302" s="1"/>
      <c r="BR302" s="3"/>
      <c r="BS302" s="3"/>
    </row>
    <row r="303" ht="12.0" customHeight="1">
      <c r="A303" s="1"/>
      <c r="BR303" s="3"/>
      <c r="BS303" s="3"/>
    </row>
    <row r="304" ht="12.0" customHeight="1">
      <c r="A304" s="1"/>
      <c r="BR304" s="3"/>
      <c r="BS304" s="3"/>
    </row>
    <row r="305" ht="12.0" customHeight="1">
      <c r="A305" s="1"/>
      <c r="BR305" s="3"/>
      <c r="BS305" s="3"/>
    </row>
    <row r="306" ht="12.0" customHeight="1">
      <c r="A306" s="1"/>
      <c r="BR306" s="3"/>
      <c r="BS306" s="3"/>
    </row>
    <row r="307" ht="12.0" customHeight="1">
      <c r="A307" s="1"/>
      <c r="BR307" s="3"/>
      <c r="BS307" s="3"/>
    </row>
    <row r="308" ht="12.0" customHeight="1">
      <c r="A308" s="1"/>
      <c r="BR308" s="3"/>
      <c r="BS308" s="3"/>
    </row>
    <row r="309" ht="12.0" customHeight="1">
      <c r="A309" s="1"/>
      <c r="BR309" s="3"/>
      <c r="BS309" s="3"/>
    </row>
    <row r="310" ht="12.0" customHeight="1">
      <c r="A310" s="1"/>
      <c r="BR310" s="3"/>
      <c r="BS310" s="3"/>
    </row>
    <row r="311" ht="12.0" customHeight="1">
      <c r="A311" s="1"/>
      <c r="BR311" s="3"/>
      <c r="BS311" s="3"/>
    </row>
    <row r="312" ht="12.0" customHeight="1">
      <c r="A312" s="1"/>
      <c r="BR312" s="3"/>
      <c r="BS312" s="3"/>
    </row>
    <row r="313" ht="12.0" customHeight="1">
      <c r="A313" s="1"/>
      <c r="BR313" s="3"/>
      <c r="BS313" s="3"/>
    </row>
    <row r="314" ht="12.0" customHeight="1">
      <c r="A314" s="1"/>
      <c r="BR314" s="3"/>
      <c r="BS314" s="3"/>
    </row>
    <row r="315" ht="12.0" customHeight="1">
      <c r="A315" s="1"/>
      <c r="BR315" s="3"/>
      <c r="BS315" s="3"/>
    </row>
    <row r="316" ht="12.0" customHeight="1">
      <c r="A316" s="1"/>
      <c r="BR316" s="3"/>
      <c r="BS316" s="3"/>
    </row>
    <row r="317" ht="12.0" customHeight="1">
      <c r="A317" s="1"/>
      <c r="BR317" s="3"/>
      <c r="BS317" s="3"/>
    </row>
    <row r="318" ht="12.0" customHeight="1">
      <c r="A318" s="1"/>
      <c r="BR318" s="3"/>
      <c r="BS318" s="3"/>
    </row>
    <row r="319" ht="12.0" customHeight="1">
      <c r="A319" s="1"/>
      <c r="BR319" s="3"/>
      <c r="BS319" s="3"/>
    </row>
    <row r="320" ht="12.0" customHeight="1">
      <c r="A320" s="1"/>
      <c r="BR320" s="3"/>
      <c r="BS320" s="3"/>
    </row>
    <row r="321" ht="12.0" customHeight="1">
      <c r="A321" s="1"/>
      <c r="BR321" s="3"/>
      <c r="BS321" s="3"/>
    </row>
    <row r="322" ht="12.0" customHeight="1">
      <c r="A322" s="1"/>
      <c r="BR322" s="3"/>
      <c r="BS322" s="3"/>
    </row>
    <row r="323" ht="12.0" customHeight="1">
      <c r="A323" s="1"/>
      <c r="BR323" s="3"/>
      <c r="BS323" s="3"/>
    </row>
    <row r="324" ht="12.0" customHeight="1">
      <c r="A324" s="1"/>
      <c r="BR324" s="3"/>
      <c r="BS324" s="3"/>
    </row>
    <row r="325" ht="12.0" customHeight="1">
      <c r="A325" s="1"/>
      <c r="BR325" s="3"/>
      <c r="BS325" s="3"/>
    </row>
    <row r="326" ht="12.0" customHeight="1">
      <c r="A326" s="1"/>
      <c r="BR326" s="3"/>
      <c r="BS326" s="3"/>
    </row>
    <row r="327" ht="12.0" customHeight="1">
      <c r="A327" s="1"/>
      <c r="BR327" s="3"/>
      <c r="BS327" s="3"/>
    </row>
    <row r="328" ht="12.0" customHeight="1">
      <c r="A328" s="1"/>
      <c r="BR328" s="3"/>
      <c r="BS328" s="3"/>
    </row>
    <row r="329" ht="12.0" customHeight="1">
      <c r="A329" s="1"/>
      <c r="BR329" s="3"/>
      <c r="BS329" s="3"/>
    </row>
    <row r="330" ht="12.0" customHeight="1">
      <c r="A330" s="1"/>
      <c r="BR330" s="3"/>
      <c r="BS330" s="3"/>
    </row>
    <row r="331" ht="12.0" customHeight="1">
      <c r="A331" s="1"/>
      <c r="BR331" s="3"/>
      <c r="BS331" s="3"/>
    </row>
    <row r="332" ht="12.0" customHeight="1">
      <c r="A332" s="1"/>
      <c r="BR332" s="3"/>
      <c r="BS332" s="3"/>
    </row>
    <row r="333" ht="12.0" customHeight="1">
      <c r="A333" s="1"/>
      <c r="BR333" s="3"/>
      <c r="BS333" s="3"/>
    </row>
    <row r="334" ht="12.0" customHeight="1">
      <c r="A334" s="1"/>
      <c r="BR334" s="3"/>
      <c r="BS334" s="3"/>
    </row>
    <row r="335" ht="12.0" customHeight="1">
      <c r="A335" s="1"/>
      <c r="BR335" s="3"/>
      <c r="BS335" s="3"/>
    </row>
    <row r="336" ht="12.0" customHeight="1">
      <c r="A336" s="1"/>
      <c r="BR336" s="3"/>
      <c r="BS336" s="3"/>
    </row>
    <row r="337" ht="12.0" customHeight="1">
      <c r="A337" s="1"/>
      <c r="BR337" s="3"/>
      <c r="BS337" s="3"/>
    </row>
    <row r="338" ht="12.0" customHeight="1">
      <c r="A338" s="1"/>
      <c r="BR338" s="3"/>
      <c r="BS338" s="3"/>
    </row>
    <row r="339" ht="12.0" customHeight="1">
      <c r="A339" s="1"/>
      <c r="BR339" s="3"/>
      <c r="BS339" s="3"/>
    </row>
    <row r="340" ht="12.0" customHeight="1">
      <c r="A340" s="1"/>
      <c r="BR340" s="3"/>
      <c r="BS340" s="3"/>
    </row>
    <row r="341" ht="12.0" customHeight="1">
      <c r="A341" s="1"/>
      <c r="BR341" s="3"/>
      <c r="BS341" s="3"/>
    </row>
    <row r="342" ht="12.0" customHeight="1">
      <c r="A342" s="1"/>
      <c r="BR342" s="3"/>
      <c r="BS342" s="3"/>
    </row>
    <row r="343" ht="12.0" customHeight="1">
      <c r="A343" s="1"/>
      <c r="BR343" s="3"/>
      <c r="BS343" s="3"/>
    </row>
    <row r="344" ht="12.0" customHeight="1">
      <c r="A344" s="1"/>
      <c r="BR344" s="3"/>
      <c r="BS344" s="3"/>
    </row>
    <row r="345" ht="12.0" customHeight="1">
      <c r="A345" s="1"/>
      <c r="BR345" s="3"/>
      <c r="BS345" s="3"/>
    </row>
    <row r="346" ht="12.0" customHeight="1">
      <c r="A346" s="1"/>
      <c r="BR346" s="3"/>
      <c r="BS346" s="3"/>
    </row>
    <row r="347" ht="12.0" customHeight="1">
      <c r="A347" s="1"/>
      <c r="BR347" s="3"/>
      <c r="BS347" s="3"/>
    </row>
    <row r="348" ht="12.0" customHeight="1">
      <c r="A348" s="1"/>
      <c r="BR348" s="3"/>
      <c r="BS348" s="3"/>
    </row>
    <row r="349" ht="12.0" customHeight="1">
      <c r="A349" s="1"/>
      <c r="BR349" s="3"/>
      <c r="BS349" s="3"/>
    </row>
    <row r="350" ht="12.0" customHeight="1">
      <c r="A350" s="1"/>
      <c r="BR350" s="3"/>
      <c r="BS350" s="3"/>
    </row>
    <row r="351" ht="12.0" customHeight="1">
      <c r="A351" s="1"/>
      <c r="BR351" s="3"/>
      <c r="BS351" s="3"/>
    </row>
    <row r="352" ht="12.0" customHeight="1">
      <c r="A352" s="1"/>
      <c r="BR352" s="3"/>
      <c r="BS352" s="3"/>
    </row>
    <row r="353" ht="12.0" customHeight="1">
      <c r="A353" s="1"/>
      <c r="BR353" s="3"/>
      <c r="BS353" s="3"/>
    </row>
    <row r="354" ht="12.0" customHeight="1">
      <c r="A354" s="1"/>
      <c r="BR354" s="3"/>
      <c r="BS354" s="3"/>
    </row>
    <row r="355" ht="12.0" customHeight="1">
      <c r="A355" s="1"/>
      <c r="BR355" s="3"/>
      <c r="BS355" s="3"/>
    </row>
    <row r="356" ht="12.0" customHeight="1">
      <c r="A356" s="1"/>
      <c r="BR356" s="3"/>
      <c r="BS356" s="3"/>
    </row>
    <row r="357" ht="12.0" customHeight="1">
      <c r="A357" s="1"/>
      <c r="BR357" s="3"/>
      <c r="BS357" s="3"/>
    </row>
    <row r="358" ht="12.0" customHeight="1">
      <c r="A358" s="1"/>
      <c r="BR358" s="3"/>
      <c r="BS358" s="3"/>
    </row>
    <row r="359" ht="12.0" customHeight="1">
      <c r="A359" s="1"/>
      <c r="BR359" s="3"/>
      <c r="BS359" s="3"/>
    </row>
    <row r="360" ht="12.0" customHeight="1">
      <c r="A360" s="1"/>
      <c r="BR360" s="3"/>
      <c r="BS360" s="3"/>
    </row>
    <row r="361" ht="12.0" customHeight="1">
      <c r="A361" s="1"/>
      <c r="BR361" s="3"/>
      <c r="BS361" s="3"/>
    </row>
    <row r="362" ht="12.0" customHeight="1">
      <c r="A362" s="1"/>
      <c r="BR362" s="3"/>
      <c r="BS362" s="3"/>
    </row>
    <row r="363" ht="12.0" customHeight="1">
      <c r="A363" s="1"/>
      <c r="BR363" s="3"/>
      <c r="BS363" s="3"/>
    </row>
    <row r="364" ht="12.0" customHeight="1">
      <c r="A364" s="1"/>
      <c r="BR364" s="3"/>
      <c r="BS364" s="3"/>
    </row>
    <row r="365" ht="12.0" customHeight="1">
      <c r="A365" s="1"/>
      <c r="BR365" s="3"/>
      <c r="BS365" s="3"/>
    </row>
    <row r="366" ht="12.0" customHeight="1">
      <c r="A366" s="1"/>
      <c r="BR366" s="3"/>
      <c r="BS366" s="3"/>
    </row>
    <row r="367" ht="12.0" customHeight="1">
      <c r="A367" s="1"/>
      <c r="BR367" s="3"/>
      <c r="BS367" s="3"/>
    </row>
    <row r="368" ht="12.0" customHeight="1">
      <c r="A368" s="1"/>
      <c r="BR368" s="3"/>
      <c r="BS368" s="3"/>
    </row>
    <row r="369" ht="12.0" customHeight="1">
      <c r="A369" s="1"/>
      <c r="BR369" s="3"/>
      <c r="BS369" s="3"/>
    </row>
    <row r="370" ht="12.0" customHeight="1">
      <c r="A370" s="1"/>
      <c r="BR370" s="3"/>
      <c r="BS370" s="3"/>
    </row>
    <row r="371" ht="12.0" customHeight="1">
      <c r="A371" s="1"/>
      <c r="BR371" s="3"/>
      <c r="BS371" s="3"/>
    </row>
    <row r="372" ht="12.0" customHeight="1">
      <c r="A372" s="1"/>
      <c r="BR372" s="3"/>
      <c r="BS372" s="3"/>
    </row>
    <row r="373" ht="12.0" customHeight="1">
      <c r="A373" s="1"/>
      <c r="BR373" s="3"/>
      <c r="BS373" s="3"/>
    </row>
    <row r="374" ht="12.0" customHeight="1">
      <c r="A374" s="1"/>
      <c r="BR374" s="3"/>
      <c r="BS374" s="3"/>
    </row>
    <row r="375" ht="12.0" customHeight="1">
      <c r="A375" s="1"/>
      <c r="BR375" s="3"/>
      <c r="BS375" s="3"/>
    </row>
    <row r="376" ht="12.0" customHeight="1">
      <c r="A376" s="1"/>
      <c r="BR376" s="3"/>
      <c r="BS376" s="3"/>
    </row>
    <row r="377" ht="12.0" customHeight="1">
      <c r="A377" s="1"/>
      <c r="BR377" s="3"/>
      <c r="BS377" s="3"/>
    </row>
    <row r="378" ht="12.0" customHeight="1">
      <c r="A378" s="1"/>
      <c r="BR378" s="3"/>
      <c r="BS378" s="3"/>
    </row>
    <row r="379" ht="12.0" customHeight="1">
      <c r="A379" s="1"/>
      <c r="BR379" s="3"/>
      <c r="BS379" s="3"/>
    </row>
    <row r="380" ht="12.0" customHeight="1">
      <c r="A380" s="1"/>
      <c r="BR380" s="3"/>
      <c r="BS380" s="3"/>
    </row>
    <row r="381" ht="12.0" customHeight="1">
      <c r="A381" s="1"/>
      <c r="BR381" s="3"/>
      <c r="BS381" s="3"/>
    </row>
    <row r="382" ht="12.0" customHeight="1">
      <c r="A382" s="1"/>
      <c r="BR382" s="3"/>
      <c r="BS382" s="3"/>
    </row>
    <row r="383" ht="12.0" customHeight="1">
      <c r="A383" s="1"/>
      <c r="BR383" s="3"/>
      <c r="BS383" s="3"/>
    </row>
    <row r="384" ht="12.0" customHeight="1">
      <c r="A384" s="1"/>
      <c r="BR384" s="3"/>
      <c r="BS384" s="3"/>
    </row>
    <row r="385" ht="12.0" customHeight="1">
      <c r="A385" s="1"/>
      <c r="BR385" s="3"/>
      <c r="BS385" s="3"/>
    </row>
    <row r="386" ht="12.0" customHeight="1">
      <c r="A386" s="1"/>
      <c r="BR386" s="3"/>
      <c r="BS386" s="3"/>
    </row>
    <row r="387" ht="12.0" customHeight="1">
      <c r="A387" s="1"/>
      <c r="BR387" s="3"/>
      <c r="BS387" s="3"/>
    </row>
    <row r="388" ht="12.0" customHeight="1">
      <c r="A388" s="1"/>
      <c r="BR388" s="3"/>
      <c r="BS388" s="3"/>
    </row>
    <row r="389" ht="12.0" customHeight="1">
      <c r="A389" s="1"/>
      <c r="BR389" s="3"/>
      <c r="BS389" s="3"/>
    </row>
    <row r="390" ht="12.0" customHeight="1">
      <c r="A390" s="1"/>
      <c r="BR390" s="3"/>
      <c r="BS390" s="3"/>
    </row>
    <row r="391" ht="12.0" customHeight="1">
      <c r="A391" s="1"/>
      <c r="BR391" s="3"/>
      <c r="BS391" s="3"/>
    </row>
    <row r="392" ht="12.0" customHeight="1">
      <c r="A392" s="1"/>
      <c r="BR392" s="3"/>
      <c r="BS392" s="3"/>
    </row>
    <row r="393" ht="12.0" customHeight="1">
      <c r="A393" s="1"/>
      <c r="BR393" s="3"/>
      <c r="BS393" s="3"/>
    </row>
    <row r="394" ht="12.0" customHeight="1">
      <c r="A394" s="1"/>
      <c r="BR394" s="3"/>
      <c r="BS394" s="3"/>
    </row>
    <row r="395" ht="12.0" customHeight="1">
      <c r="A395" s="1"/>
      <c r="BR395" s="3"/>
      <c r="BS395" s="3"/>
    </row>
    <row r="396" ht="12.0" customHeight="1">
      <c r="A396" s="1"/>
      <c r="BR396" s="3"/>
      <c r="BS396" s="3"/>
    </row>
    <row r="397" ht="12.0" customHeight="1">
      <c r="A397" s="1"/>
      <c r="BR397" s="3"/>
      <c r="BS397" s="3"/>
    </row>
    <row r="398" ht="12.0" customHeight="1">
      <c r="A398" s="1"/>
      <c r="BR398" s="3"/>
      <c r="BS398" s="3"/>
    </row>
    <row r="399" ht="12.0" customHeight="1">
      <c r="A399" s="1"/>
      <c r="BR399" s="3"/>
      <c r="BS399" s="3"/>
    </row>
    <row r="400" ht="12.0" customHeight="1">
      <c r="A400" s="1"/>
      <c r="BR400" s="3"/>
      <c r="BS400" s="3"/>
    </row>
    <row r="401" ht="12.0" customHeight="1">
      <c r="A401" s="1"/>
      <c r="BR401" s="3"/>
      <c r="BS401" s="3"/>
    </row>
    <row r="402" ht="12.0" customHeight="1">
      <c r="A402" s="1"/>
      <c r="BR402" s="3"/>
      <c r="BS402" s="3"/>
    </row>
    <row r="403" ht="12.0" customHeight="1">
      <c r="A403" s="1"/>
      <c r="BR403" s="3"/>
      <c r="BS403" s="3"/>
    </row>
    <row r="404" ht="12.0" customHeight="1">
      <c r="A404" s="1"/>
      <c r="BR404" s="3"/>
      <c r="BS404" s="3"/>
    </row>
    <row r="405" ht="12.0" customHeight="1">
      <c r="A405" s="1"/>
      <c r="BR405" s="3"/>
      <c r="BS405" s="3"/>
    </row>
    <row r="406" ht="12.0" customHeight="1">
      <c r="A406" s="1"/>
      <c r="BR406" s="3"/>
      <c r="BS406" s="3"/>
    </row>
    <row r="407" ht="12.0" customHeight="1">
      <c r="A407" s="1"/>
      <c r="BR407" s="3"/>
      <c r="BS407" s="3"/>
    </row>
    <row r="408" ht="12.0" customHeight="1">
      <c r="A408" s="1"/>
      <c r="BR408" s="3"/>
      <c r="BS408" s="3"/>
    </row>
    <row r="409" ht="12.0" customHeight="1">
      <c r="A409" s="1"/>
      <c r="BR409" s="3"/>
      <c r="BS409" s="3"/>
    </row>
    <row r="410" ht="12.0" customHeight="1">
      <c r="A410" s="1"/>
      <c r="BR410" s="3"/>
      <c r="BS410" s="3"/>
    </row>
    <row r="411" ht="12.0" customHeight="1">
      <c r="A411" s="1"/>
      <c r="BR411" s="3"/>
      <c r="BS411" s="3"/>
    </row>
    <row r="412" ht="12.0" customHeight="1">
      <c r="A412" s="1"/>
      <c r="BR412" s="3"/>
      <c r="BS412" s="3"/>
    </row>
    <row r="413" ht="12.0" customHeight="1">
      <c r="A413" s="1"/>
      <c r="BR413" s="3"/>
      <c r="BS413" s="3"/>
    </row>
    <row r="414" ht="12.0" customHeight="1">
      <c r="A414" s="1"/>
      <c r="BR414" s="3"/>
      <c r="BS414" s="3"/>
    </row>
    <row r="415" ht="12.0" customHeight="1">
      <c r="A415" s="1"/>
      <c r="BR415" s="3"/>
      <c r="BS415" s="3"/>
    </row>
    <row r="416" ht="12.0" customHeight="1">
      <c r="A416" s="1"/>
      <c r="BR416" s="3"/>
      <c r="BS416" s="3"/>
    </row>
    <row r="417" ht="12.0" customHeight="1">
      <c r="A417" s="1"/>
      <c r="BR417" s="3"/>
      <c r="BS417" s="3"/>
    </row>
    <row r="418" ht="12.0" customHeight="1">
      <c r="A418" s="1"/>
      <c r="BR418" s="3"/>
      <c r="BS418" s="3"/>
    </row>
    <row r="419" ht="12.0" customHeight="1">
      <c r="A419" s="1"/>
      <c r="BR419" s="3"/>
      <c r="BS419" s="3"/>
    </row>
    <row r="420" ht="12.0" customHeight="1">
      <c r="A420" s="1"/>
      <c r="BR420" s="3"/>
      <c r="BS420" s="3"/>
    </row>
    <row r="421" ht="12.0" customHeight="1">
      <c r="A421" s="1"/>
      <c r="BR421" s="3"/>
      <c r="BS421" s="3"/>
    </row>
    <row r="422" ht="12.0" customHeight="1">
      <c r="A422" s="1"/>
      <c r="BR422" s="3"/>
      <c r="BS422" s="3"/>
    </row>
    <row r="423" ht="12.0" customHeight="1">
      <c r="A423" s="1"/>
      <c r="BR423" s="3"/>
      <c r="BS423" s="3"/>
    </row>
    <row r="424" ht="12.0" customHeight="1">
      <c r="A424" s="1"/>
      <c r="BR424" s="3"/>
      <c r="BS424" s="3"/>
    </row>
    <row r="425" ht="12.0" customHeight="1">
      <c r="A425" s="1"/>
      <c r="BR425" s="3"/>
      <c r="BS425" s="3"/>
    </row>
    <row r="426" ht="12.0" customHeight="1">
      <c r="A426" s="1"/>
      <c r="BR426" s="3"/>
      <c r="BS426" s="3"/>
    </row>
    <row r="427" ht="12.0" customHeight="1">
      <c r="A427" s="1"/>
      <c r="BR427" s="3"/>
      <c r="BS427" s="3"/>
    </row>
    <row r="428" ht="12.0" customHeight="1">
      <c r="A428" s="1"/>
      <c r="BR428" s="3"/>
      <c r="BS428" s="3"/>
    </row>
    <row r="429" ht="12.0" customHeight="1">
      <c r="A429" s="1"/>
      <c r="BR429" s="3"/>
      <c r="BS429" s="3"/>
    </row>
    <row r="430" ht="12.0" customHeight="1">
      <c r="A430" s="1"/>
      <c r="BR430" s="3"/>
      <c r="BS430" s="3"/>
    </row>
    <row r="431" ht="12.0" customHeight="1">
      <c r="A431" s="1"/>
      <c r="BR431" s="3"/>
      <c r="BS431" s="3"/>
    </row>
    <row r="432" ht="12.0" customHeight="1">
      <c r="A432" s="1"/>
      <c r="BR432" s="3"/>
      <c r="BS432" s="3"/>
    </row>
    <row r="433" ht="12.0" customHeight="1">
      <c r="A433" s="1"/>
      <c r="BR433" s="3"/>
      <c r="BS433" s="3"/>
    </row>
    <row r="434" ht="12.0" customHeight="1">
      <c r="A434" s="1"/>
      <c r="BR434" s="3"/>
      <c r="BS434" s="3"/>
    </row>
    <row r="435" ht="12.0" customHeight="1">
      <c r="A435" s="1"/>
      <c r="BR435" s="3"/>
      <c r="BS435" s="3"/>
    </row>
    <row r="436" ht="12.0" customHeight="1">
      <c r="A436" s="1"/>
      <c r="BR436" s="3"/>
      <c r="BS436" s="3"/>
    </row>
    <row r="437" ht="12.0" customHeight="1">
      <c r="A437" s="1"/>
      <c r="BR437" s="3"/>
      <c r="BS437" s="3"/>
    </row>
    <row r="438" ht="12.0" customHeight="1">
      <c r="A438" s="1"/>
      <c r="BR438" s="3"/>
      <c r="BS438" s="3"/>
    </row>
    <row r="439" ht="12.0" customHeight="1">
      <c r="A439" s="1"/>
      <c r="BR439" s="3"/>
      <c r="BS439" s="3"/>
    </row>
    <row r="440" ht="12.0" customHeight="1">
      <c r="A440" s="1"/>
      <c r="BR440" s="3"/>
      <c r="BS440" s="3"/>
    </row>
    <row r="441" ht="12.0" customHeight="1">
      <c r="A441" s="1"/>
      <c r="BR441" s="3"/>
      <c r="BS441" s="3"/>
    </row>
    <row r="442" ht="12.0" customHeight="1">
      <c r="A442" s="1"/>
      <c r="BR442" s="3"/>
      <c r="BS442" s="3"/>
    </row>
    <row r="443" ht="12.0" customHeight="1">
      <c r="A443" s="1"/>
      <c r="BR443" s="3"/>
      <c r="BS443" s="3"/>
    </row>
    <row r="444" ht="12.0" customHeight="1">
      <c r="A444" s="1"/>
      <c r="BR444" s="3"/>
      <c r="BS444" s="3"/>
    </row>
    <row r="445" ht="12.0" customHeight="1">
      <c r="A445" s="1"/>
      <c r="BR445" s="3"/>
      <c r="BS445" s="3"/>
    </row>
    <row r="446" ht="12.0" customHeight="1">
      <c r="A446" s="1"/>
      <c r="BR446" s="3"/>
      <c r="BS446" s="3"/>
    </row>
    <row r="447" ht="12.0" customHeight="1">
      <c r="A447" s="1"/>
      <c r="BR447" s="3"/>
      <c r="BS447" s="3"/>
    </row>
    <row r="448" ht="12.0" customHeight="1">
      <c r="A448" s="1"/>
      <c r="BR448" s="3"/>
      <c r="BS448" s="3"/>
    </row>
    <row r="449" ht="12.0" customHeight="1">
      <c r="A449" s="1"/>
      <c r="BR449" s="3"/>
      <c r="BS449" s="3"/>
    </row>
    <row r="450" ht="12.0" customHeight="1">
      <c r="A450" s="1"/>
      <c r="BR450" s="3"/>
      <c r="BS450" s="3"/>
    </row>
    <row r="451" ht="12.0" customHeight="1">
      <c r="A451" s="1"/>
      <c r="BR451" s="3"/>
      <c r="BS451" s="3"/>
    </row>
    <row r="452" ht="12.0" customHeight="1">
      <c r="A452" s="1"/>
      <c r="BR452" s="3"/>
      <c r="BS452" s="3"/>
    </row>
    <row r="453" ht="12.0" customHeight="1">
      <c r="A453" s="1"/>
      <c r="BR453" s="3"/>
      <c r="BS453" s="3"/>
    </row>
    <row r="454" ht="12.0" customHeight="1">
      <c r="A454" s="1"/>
      <c r="BR454" s="3"/>
      <c r="BS454" s="3"/>
    </row>
    <row r="455" ht="12.0" customHeight="1">
      <c r="A455" s="1"/>
      <c r="BR455" s="3"/>
      <c r="BS455" s="3"/>
    </row>
    <row r="456" ht="12.0" customHeight="1">
      <c r="A456" s="1"/>
      <c r="BR456" s="3"/>
      <c r="BS456" s="3"/>
    </row>
    <row r="457" ht="12.0" customHeight="1">
      <c r="A457" s="1"/>
      <c r="BR457" s="3"/>
      <c r="BS457" s="3"/>
    </row>
    <row r="458" ht="12.0" customHeight="1">
      <c r="A458" s="1"/>
      <c r="BR458" s="3"/>
      <c r="BS458" s="3"/>
    </row>
    <row r="459" ht="12.0" customHeight="1">
      <c r="A459" s="1"/>
      <c r="BR459" s="3"/>
      <c r="BS459" s="3"/>
    </row>
    <row r="460" ht="12.0" customHeight="1">
      <c r="A460" s="1"/>
      <c r="BR460" s="3"/>
      <c r="BS460" s="3"/>
    </row>
    <row r="461" ht="12.0" customHeight="1">
      <c r="A461" s="1"/>
      <c r="BR461" s="3"/>
      <c r="BS461" s="3"/>
    </row>
    <row r="462" ht="12.0" customHeight="1">
      <c r="A462" s="1"/>
      <c r="BR462" s="3"/>
      <c r="BS462" s="3"/>
    </row>
    <row r="463" ht="12.0" customHeight="1">
      <c r="A463" s="1"/>
      <c r="BR463" s="3"/>
      <c r="BS463" s="3"/>
    </row>
    <row r="464" ht="12.0" customHeight="1">
      <c r="A464" s="1"/>
      <c r="BR464" s="3"/>
      <c r="BS464" s="3"/>
    </row>
    <row r="465" ht="12.0" customHeight="1">
      <c r="A465" s="1"/>
      <c r="BR465" s="3"/>
      <c r="BS465" s="3"/>
    </row>
    <row r="466" ht="12.0" customHeight="1">
      <c r="A466" s="1"/>
      <c r="BR466" s="3"/>
      <c r="BS466" s="3"/>
    </row>
    <row r="467" ht="12.0" customHeight="1">
      <c r="A467" s="1"/>
      <c r="BR467" s="3"/>
      <c r="BS467" s="3"/>
    </row>
    <row r="468" ht="12.0" customHeight="1">
      <c r="A468" s="1"/>
      <c r="BR468" s="3"/>
      <c r="BS468" s="3"/>
    </row>
    <row r="469" ht="12.0" customHeight="1">
      <c r="A469" s="1"/>
      <c r="BR469" s="3"/>
      <c r="BS469" s="3"/>
    </row>
    <row r="470" ht="12.0" customHeight="1">
      <c r="A470" s="1"/>
      <c r="BR470" s="3"/>
      <c r="BS470" s="3"/>
    </row>
    <row r="471" ht="12.0" customHeight="1">
      <c r="A471" s="1"/>
      <c r="BR471" s="3"/>
      <c r="BS471" s="3"/>
    </row>
    <row r="472" ht="12.0" customHeight="1">
      <c r="A472" s="1"/>
      <c r="BR472" s="3"/>
      <c r="BS472" s="3"/>
    </row>
    <row r="473" ht="12.0" customHeight="1">
      <c r="A473" s="1"/>
      <c r="BR473" s="3"/>
      <c r="BS473" s="3"/>
    </row>
    <row r="474" ht="12.0" customHeight="1">
      <c r="A474" s="1"/>
      <c r="BR474" s="3"/>
      <c r="BS474" s="3"/>
    </row>
    <row r="475" ht="12.0" customHeight="1">
      <c r="A475" s="1"/>
      <c r="BR475" s="3"/>
      <c r="BS475" s="3"/>
    </row>
    <row r="476" ht="12.0" customHeight="1">
      <c r="A476" s="1"/>
      <c r="BR476" s="3"/>
      <c r="BS476" s="3"/>
    </row>
    <row r="477" ht="12.0" customHeight="1">
      <c r="A477" s="1"/>
      <c r="BR477" s="3"/>
      <c r="BS477" s="3"/>
    </row>
    <row r="478" ht="12.0" customHeight="1">
      <c r="A478" s="1"/>
      <c r="BR478" s="3"/>
      <c r="BS478" s="3"/>
    </row>
    <row r="479" ht="12.0" customHeight="1">
      <c r="A479" s="1"/>
      <c r="BR479" s="3"/>
      <c r="BS479" s="3"/>
    </row>
    <row r="480" ht="12.0" customHeight="1">
      <c r="A480" s="1"/>
      <c r="BR480" s="3"/>
      <c r="BS480" s="3"/>
    </row>
    <row r="481" ht="12.0" customHeight="1">
      <c r="A481" s="1"/>
      <c r="BR481" s="3"/>
      <c r="BS481" s="3"/>
    </row>
    <row r="482" ht="12.0" customHeight="1">
      <c r="A482" s="1"/>
      <c r="BR482" s="3"/>
      <c r="BS482" s="3"/>
    </row>
    <row r="483" ht="12.0" customHeight="1">
      <c r="A483" s="1"/>
      <c r="BR483" s="3"/>
      <c r="BS483" s="3"/>
    </row>
    <row r="484" ht="12.0" customHeight="1">
      <c r="A484" s="1"/>
      <c r="BR484" s="3"/>
      <c r="BS484" s="3"/>
    </row>
    <row r="485" ht="12.0" customHeight="1">
      <c r="A485" s="1"/>
      <c r="BR485" s="3"/>
      <c r="BS485" s="3"/>
    </row>
    <row r="486" ht="12.0" customHeight="1">
      <c r="A486" s="1"/>
      <c r="BR486" s="3"/>
      <c r="BS486" s="3"/>
    </row>
    <row r="487" ht="12.0" customHeight="1">
      <c r="A487" s="1"/>
      <c r="BR487" s="3"/>
      <c r="BS487" s="3"/>
    </row>
    <row r="488" ht="12.0" customHeight="1">
      <c r="A488" s="1"/>
      <c r="BR488" s="3"/>
      <c r="BS488" s="3"/>
    </row>
    <row r="489" ht="12.0" customHeight="1">
      <c r="A489" s="1"/>
      <c r="BR489" s="3"/>
      <c r="BS489" s="3"/>
    </row>
    <row r="490" ht="12.0" customHeight="1">
      <c r="A490" s="1"/>
      <c r="BR490" s="3"/>
      <c r="BS490" s="3"/>
    </row>
    <row r="491" ht="12.0" customHeight="1">
      <c r="A491" s="1"/>
      <c r="BR491" s="3"/>
      <c r="BS491" s="3"/>
    </row>
    <row r="492" ht="12.0" customHeight="1">
      <c r="A492" s="1"/>
      <c r="BR492" s="3"/>
      <c r="BS492" s="3"/>
    </row>
    <row r="493" ht="12.0" customHeight="1">
      <c r="A493" s="1"/>
      <c r="BR493" s="3"/>
      <c r="BS493" s="3"/>
    </row>
    <row r="494" ht="12.0" customHeight="1">
      <c r="A494" s="1"/>
      <c r="BR494" s="3"/>
      <c r="BS494" s="3"/>
    </row>
    <row r="495" ht="12.0" customHeight="1">
      <c r="A495" s="1"/>
      <c r="BR495" s="3"/>
      <c r="BS495" s="3"/>
    </row>
    <row r="496" ht="12.0" customHeight="1">
      <c r="A496" s="1"/>
      <c r="BR496" s="3"/>
      <c r="BS496" s="3"/>
    </row>
    <row r="497" ht="12.0" customHeight="1">
      <c r="A497" s="1"/>
      <c r="BR497" s="3"/>
      <c r="BS497" s="3"/>
    </row>
    <row r="498" ht="12.0" customHeight="1">
      <c r="A498" s="1"/>
      <c r="BR498" s="3"/>
      <c r="BS498" s="3"/>
    </row>
    <row r="499" ht="12.0" customHeight="1">
      <c r="A499" s="1"/>
      <c r="BR499" s="3"/>
      <c r="BS499" s="3"/>
    </row>
    <row r="500" ht="12.0" customHeight="1">
      <c r="A500" s="1"/>
      <c r="BR500" s="3"/>
      <c r="BS500" s="3"/>
    </row>
    <row r="501" ht="12.0" customHeight="1">
      <c r="A501" s="1"/>
      <c r="BR501" s="3"/>
      <c r="BS501" s="3"/>
    </row>
    <row r="502" ht="12.0" customHeight="1">
      <c r="A502" s="1"/>
      <c r="BR502" s="3"/>
      <c r="BS502" s="3"/>
    </row>
    <row r="503" ht="12.0" customHeight="1">
      <c r="A503" s="1"/>
      <c r="BR503" s="3"/>
      <c r="BS503" s="3"/>
    </row>
    <row r="504" ht="12.0" customHeight="1">
      <c r="A504" s="1"/>
      <c r="BR504" s="3"/>
      <c r="BS504" s="3"/>
    </row>
    <row r="505" ht="12.0" customHeight="1">
      <c r="A505" s="1"/>
      <c r="BR505" s="3"/>
      <c r="BS505" s="3"/>
    </row>
    <row r="506" ht="12.0" customHeight="1">
      <c r="A506" s="1"/>
      <c r="BR506" s="3"/>
      <c r="BS506" s="3"/>
    </row>
    <row r="507" ht="12.0" customHeight="1">
      <c r="A507" s="1"/>
      <c r="BR507" s="3"/>
      <c r="BS507" s="3"/>
    </row>
    <row r="508" ht="12.0" customHeight="1">
      <c r="A508" s="1"/>
      <c r="BR508" s="3"/>
      <c r="BS508" s="3"/>
    </row>
    <row r="509" ht="12.0" customHeight="1">
      <c r="A509" s="1"/>
      <c r="BR509" s="3"/>
      <c r="BS509" s="3"/>
    </row>
    <row r="510" ht="12.0" customHeight="1">
      <c r="A510" s="1"/>
      <c r="BR510" s="3"/>
      <c r="BS510" s="3"/>
    </row>
    <row r="511" ht="12.0" customHeight="1">
      <c r="A511" s="1"/>
      <c r="BR511" s="3"/>
      <c r="BS511" s="3"/>
    </row>
    <row r="512" ht="12.0" customHeight="1">
      <c r="A512" s="1"/>
      <c r="BR512" s="3"/>
      <c r="BS512" s="3"/>
    </row>
    <row r="513" ht="12.0" customHeight="1">
      <c r="A513" s="1"/>
      <c r="BR513" s="3"/>
      <c r="BS513" s="3"/>
    </row>
    <row r="514" ht="12.0" customHeight="1">
      <c r="A514" s="1"/>
      <c r="BR514" s="3"/>
      <c r="BS514" s="3"/>
    </row>
    <row r="515" ht="12.0" customHeight="1">
      <c r="A515" s="1"/>
      <c r="BR515" s="3"/>
      <c r="BS515" s="3"/>
    </row>
    <row r="516" ht="12.0" customHeight="1">
      <c r="A516" s="1"/>
      <c r="BR516" s="3"/>
      <c r="BS516" s="3"/>
    </row>
    <row r="517" ht="12.0" customHeight="1">
      <c r="A517" s="1"/>
      <c r="BR517" s="3"/>
      <c r="BS517" s="3"/>
    </row>
    <row r="518" ht="12.0" customHeight="1">
      <c r="A518" s="1"/>
      <c r="BR518" s="3"/>
      <c r="BS518" s="3"/>
    </row>
    <row r="519" ht="12.0" customHeight="1">
      <c r="A519" s="1"/>
      <c r="BR519" s="3"/>
      <c r="BS519" s="3"/>
    </row>
    <row r="520" ht="12.0" customHeight="1">
      <c r="A520" s="1"/>
      <c r="BR520" s="3"/>
      <c r="BS520" s="3"/>
    </row>
    <row r="521" ht="12.0" customHeight="1">
      <c r="A521" s="1"/>
      <c r="BR521" s="3"/>
      <c r="BS521" s="3"/>
    </row>
    <row r="522" ht="12.0" customHeight="1">
      <c r="A522" s="1"/>
      <c r="BR522" s="3"/>
      <c r="BS522" s="3"/>
    </row>
    <row r="523" ht="12.0" customHeight="1">
      <c r="A523" s="1"/>
      <c r="BR523" s="3"/>
      <c r="BS523" s="3"/>
    </row>
    <row r="524" ht="12.0" customHeight="1">
      <c r="A524" s="1"/>
      <c r="BR524" s="3"/>
      <c r="BS524" s="3"/>
    </row>
    <row r="525" ht="12.0" customHeight="1">
      <c r="A525" s="1"/>
      <c r="BR525" s="3"/>
      <c r="BS525" s="3"/>
    </row>
    <row r="526" ht="12.0" customHeight="1">
      <c r="A526" s="1"/>
      <c r="BR526" s="3"/>
      <c r="BS526" s="3"/>
    </row>
    <row r="527" ht="12.0" customHeight="1">
      <c r="A527" s="1"/>
      <c r="BR527" s="3"/>
      <c r="BS527" s="3"/>
    </row>
    <row r="528" ht="12.0" customHeight="1">
      <c r="A528" s="1"/>
      <c r="BR528" s="3"/>
      <c r="BS528" s="3"/>
    </row>
    <row r="529" ht="12.0" customHeight="1">
      <c r="A529" s="1"/>
      <c r="BR529" s="3"/>
      <c r="BS529" s="3"/>
    </row>
    <row r="530" ht="12.0" customHeight="1">
      <c r="A530" s="1"/>
      <c r="BR530" s="3"/>
      <c r="BS530" s="3"/>
    </row>
    <row r="531" ht="12.0" customHeight="1">
      <c r="A531" s="1"/>
      <c r="BR531" s="3"/>
      <c r="BS531" s="3"/>
    </row>
    <row r="532" ht="12.0" customHeight="1">
      <c r="A532" s="1"/>
      <c r="BR532" s="3"/>
      <c r="BS532" s="3"/>
    </row>
    <row r="533" ht="12.0" customHeight="1">
      <c r="A533" s="1"/>
      <c r="BR533" s="3"/>
      <c r="BS533" s="3"/>
    </row>
    <row r="534" ht="12.0" customHeight="1">
      <c r="A534" s="1"/>
      <c r="BR534" s="3"/>
      <c r="BS534" s="3"/>
    </row>
    <row r="535" ht="12.0" customHeight="1">
      <c r="A535" s="1"/>
      <c r="BR535" s="3"/>
      <c r="BS535" s="3"/>
    </row>
    <row r="536" ht="12.0" customHeight="1">
      <c r="A536" s="1"/>
      <c r="BR536" s="3"/>
      <c r="BS536" s="3"/>
    </row>
    <row r="537" ht="12.0" customHeight="1">
      <c r="A537" s="1"/>
      <c r="BR537" s="3"/>
      <c r="BS537" s="3"/>
    </row>
    <row r="538" ht="12.0" customHeight="1">
      <c r="A538" s="1"/>
      <c r="BR538" s="3"/>
      <c r="BS538" s="3"/>
    </row>
    <row r="539" ht="12.0" customHeight="1">
      <c r="A539" s="1"/>
      <c r="BR539" s="3"/>
      <c r="BS539" s="3"/>
    </row>
    <row r="540" ht="12.0" customHeight="1">
      <c r="A540" s="1"/>
      <c r="BR540" s="3"/>
      <c r="BS540" s="3"/>
    </row>
    <row r="541" ht="12.0" customHeight="1">
      <c r="A541" s="1"/>
      <c r="BR541" s="3"/>
      <c r="BS541" s="3"/>
    </row>
    <row r="542" ht="12.0" customHeight="1">
      <c r="A542" s="1"/>
      <c r="BR542" s="3"/>
      <c r="BS542" s="3"/>
    </row>
    <row r="543" ht="12.0" customHeight="1">
      <c r="A543" s="1"/>
      <c r="BR543" s="3"/>
      <c r="BS543" s="3"/>
    </row>
    <row r="544" ht="12.0" customHeight="1">
      <c r="A544" s="1"/>
      <c r="BR544" s="3"/>
      <c r="BS544" s="3"/>
    </row>
    <row r="545" ht="12.0" customHeight="1">
      <c r="A545" s="1"/>
      <c r="BR545" s="3"/>
      <c r="BS545" s="3"/>
    </row>
    <row r="546" ht="12.0" customHeight="1">
      <c r="A546" s="1"/>
      <c r="BR546" s="3"/>
      <c r="BS546" s="3"/>
    </row>
    <row r="547" ht="12.0" customHeight="1">
      <c r="A547" s="1"/>
      <c r="BR547" s="3"/>
      <c r="BS547" s="3"/>
    </row>
    <row r="548" ht="12.0" customHeight="1">
      <c r="A548" s="1"/>
      <c r="BR548" s="3"/>
      <c r="BS548" s="3"/>
    </row>
    <row r="549" ht="12.0" customHeight="1">
      <c r="A549" s="1"/>
      <c r="BR549" s="3"/>
      <c r="BS549" s="3"/>
    </row>
    <row r="550" ht="12.0" customHeight="1">
      <c r="A550" s="1"/>
      <c r="BR550" s="3"/>
      <c r="BS550" s="3"/>
    </row>
    <row r="551" ht="12.0" customHeight="1">
      <c r="A551" s="1"/>
      <c r="BR551" s="3"/>
      <c r="BS551" s="3"/>
    </row>
    <row r="552" ht="12.0" customHeight="1">
      <c r="A552" s="1"/>
      <c r="BR552" s="3"/>
      <c r="BS552" s="3"/>
    </row>
    <row r="553" ht="12.0" customHeight="1">
      <c r="A553" s="1"/>
      <c r="BR553" s="3"/>
      <c r="BS553" s="3"/>
    </row>
    <row r="554" ht="12.0" customHeight="1">
      <c r="A554" s="1"/>
      <c r="BR554" s="3"/>
      <c r="BS554" s="3"/>
    </row>
    <row r="555" ht="12.0" customHeight="1">
      <c r="A555" s="1"/>
      <c r="BR555" s="3"/>
      <c r="BS555" s="3"/>
    </row>
    <row r="556" ht="12.0" customHeight="1">
      <c r="A556" s="1"/>
      <c r="BR556" s="3"/>
      <c r="BS556" s="3"/>
    </row>
    <row r="557" ht="12.0" customHeight="1">
      <c r="A557" s="1"/>
      <c r="BR557" s="3"/>
      <c r="BS557" s="3"/>
    </row>
    <row r="558" ht="12.0" customHeight="1">
      <c r="A558" s="1"/>
      <c r="BR558" s="3"/>
      <c r="BS558" s="3"/>
    </row>
    <row r="559" ht="12.0" customHeight="1">
      <c r="A559" s="1"/>
      <c r="BR559" s="3"/>
      <c r="BS559" s="3"/>
    </row>
    <row r="560" ht="12.0" customHeight="1">
      <c r="A560" s="1"/>
      <c r="BR560" s="3"/>
      <c r="BS560" s="3"/>
    </row>
    <row r="561" ht="12.0" customHeight="1">
      <c r="A561" s="1"/>
      <c r="BR561" s="3"/>
      <c r="BS561" s="3"/>
    </row>
    <row r="562" ht="12.0" customHeight="1">
      <c r="A562" s="1"/>
      <c r="BR562" s="3"/>
      <c r="BS562" s="3"/>
    </row>
    <row r="563" ht="12.0" customHeight="1">
      <c r="A563" s="1"/>
      <c r="BR563" s="3"/>
      <c r="BS563" s="3"/>
    </row>
    <row r="564" ht="12.0" customHeight="1">
      <c r="A564" s="1"/>
      <c r="BR564" s="3"/>
      <c r="BS564" s="3"/>
    </row>
    <row r="565" ht="12.0" customHeight="1">
      <c r="A565" s="1"/>
      <c r="BR565" s="3"/>
      <c r="BS565" s="3"/>
    </row>
    <row r="566" ht="12.0" customHeight="1">
      <c r="A566" s="1"/>
      <c r="BR566" s="3"/>
      <c r="BS566" s="3"/>
    </row>
    <row r="567" ht="12.0" customHeight="1">
      <c r="A567" s="1"/>
      <c r="BR567" s="3"/>
      <c r="BS567" s="3"/>
    </row>
    <row r="568" ht="12.0" customHeight="1">
      <c r="A568" s="1"/>
      <c r="BR568" s="3"/>
      <c r="BS568" s="3"/>
    </row>
    <row r="569" ht="12.0" customHeight="1">
      <c r="A569" s="1"/>
      <c r="BR569" s="3"/>
      <c r="BS569" s="3"/>
    </row>
    <row r="570" ht="12.0" customHeight="1">
      <c r="A570" s="1"/>
      <c r="BR570" s="3"/>
      <c r="BS570" s="3"/>
    </row>
    <row r="571" ht="12.0" customHeight="1">
      <c r="A571" s="1"/>
      <c r="BR571" s="3"/>
      <c r="BS571" s="3"/>
    </row>
    <row r="572" ht="12.0" customHeight="1">
      <c r="A572" s="1"/>
      <c r="BR572" s="3"/>
      <c r="BS572" s="3"/>
    </row>
    <row r="573" ht="12.0" customHeight="1">
      <c r="A573" s="1"/>
      <c r="BR573" s="3"/>
      <c r="BS573" s="3"/>
    </row>
    <row r="574" ht="12.0" customHeight="1">
      <c r="A574" s="1"/>
      <c r="BR574" s="3"/>
      <c r="BS574" s="3"/>
    </row>
    <row r="575" ht="12.0" customHeight="1">
      <c r="A575" s="1"/>
      <c r="BR575" s="3"/>
      <c r="BS575" s="3"/>
    </row>
    <row r="576" ht="12.0" customHeight="1">
      <c r="A576" s="1"/>
      <c r="BR576" s="3"/>
      <c r="BS576" s="3"/>
    </row>
    <row r="577" ht="12.0" customHeight="1">
      <c r="A577" s="1"/>
      <c r="BR577" s="3"/>
      <c r="BS577" s="3"/>
    </row>
    <row r="578" ht="12.0" customHeight="1">
      <c r="A578" s="1"/>
      <c r="BR578" s="3"/>
      <c r="BS578" s="3"/>
    </row>
    <row r="579" ht="12.0" customHeight="1">
      <c r="A579" s="1"/>
      <c r="BR579" s="3"/>
      <c r="BS579" s="3"/>
    </row>
    <row r="580" ht="12.0" customHeight="1">
      <c r="A580" s="1"/>
      <c r="BR580" s="3"/>
      <c r="BS580" s="3"/>
    </row>
    <row r="581" ht="12.0" customHeight="1">
      <c r="A581" s="1"/>
      <c r="BR581" s="3"/>
      <c r="BS581" s="3"/>
    </row>
    <row r="582" ht="12.0" customHeight="1">
      <c r="A582" s="1"/>
      <c r="BR582" s="3"/>
      <c r="BS582" s="3"/>
    </row>
    <row r="583" ht="12.0" customHeight="1">
      <c r="A583" s="1"/>
      <c r="BR583" s="3"/>
      <c r="BS583" s="3"/>
    </row>
    <row r="584" ht="12.0" customHeight="1">
      <c r="A584" s="1"/>
      <c r="BR584" s="3"/>
      <c r="BS584" s="3"/>
    </row>
    <row r="585" ht="12.0" customHeight="1">
      <c r="A585" s="1"/>
      <c r="BR585" s="3"/>
      <c r="BS585" s="3"/>
    </row>
    <row r="586" ht="12.0" customHeight="1">
      <c r="A586" s="1"/>
      <c r="BR586" s="3"/>
      <c r="BS586" s="3"/>
    </row>
    <row r="587" ht="12.0" customHeight="1">
      <c r="A587" s="1"/>
      <c r="BR587" s="3"/>
      <c r="BS587" s="3"/>
    </row>
    <row r="588" ht="12.0" customHeight="1">
      <c r="A588" s="1"/>
      <c r="BR588" s="3"/>
      <c r="BS588" s="3"/>
    </row>
    <row r="589" ht="12.0" customHeight="1">
      <c r="A589" s="1"/>
      <c r="BR589" s="3"/>
      <c r="BS589" s="3"/>
    </row>
    <row r="590" ht="12.0" customHeight="1">
      <c r="A590" s="1"/>
      <c r="BR590" s="3"/>
      <c r="BS590" s="3"/>
    </row>
    <row r="591" ht="12.0" customHeight="1">
      <c r="A591" s="1"/>
      <c r="BR591" s="3"/>
      <c r="BS591" s="3"/>
    </row>
    <row r="592" ht="12.0" customHeight="1">
      <c r="A592" s="1"/>
      <c r="BR592" s="3"/>
      <c r="BS592" s="3"/>
    </row>
    <row r="593" ht="12.0" customHeight="1">
      <c r="A593" s="1"/>
      <c r="BR593" s="3"/>
      <c r="BS593" s="3"/>
    </row>
    <row r="594" ht="12.0" customHeight="1">
      <c r="A594" s="1"/>
      <c r="BR594" s="3"/>
      <c r="BS594" s="3"/>
    </row>
    <row r="595" ht="12.0" customHeight="1">
      <c r="A595" s="1"/>
      <c r="BR595" s="3"/>
      <c r="BS595" s="3"/>
    </row>
    <row r="596" ht="12.0" customHeight="1">
      <c r="A596" s="1"/>
      <c r="BR596" s="3"/>
      <c r="BS596" s="3"/>
    </row>
    <row r="597" ht="12.0" customHeight="1">
      <c r="A597" s="1"/>
      <c r="BR597" s="3"/>
      <c r="BS597" s="3"/>
    </row>
    <row r="598" ht="12.0" customHeight="1">
      <c r="A598" s="1"/>
      <c r="BR598" s="3"/>
      <c r="BS598" s="3"/>
    </row>
    <row r="599" ht="12.0" customHeight="1">
      <c r="A599" s="1"/>
      <c r="BR599" s="3"/>
      <c r="BS599" s="3"/>
    </row>
    <row r="600" ht="12.0" customHeight="1">
      <c r="A600" s="1"/>
      <c r="BR600" s="3"/>
      <c r="BS600" s="3"/>
    </row>
    <row r="601" ht="12.0" customHeight="1">
      <c r="A601" s="1"/>
      <c r="BR601" s="3"/>
      <c r="BS601" s="3"/>
    </row>
    <row r="602" ht="12.0" customHeight="1">
      <c r="A602" s="1"/>
      <c r="BR602" s="3"/>
      <c r="BS602" s="3"/>
    </row>
    <row r="603" ht="12.0" customHeight="1">
      <c r="A603" s="1"/>
      <c r="BR603" s="3"/>
      <c r="BS603" s="3"/>
    </row>
    <row r="604" ht="12.0" customHeight="1">
      <c r="A604" s="1"/>
      <c r="BR604" s="3"/>
      <c r="BS604" s="3"/>
    </row>
    <row r="605" ht="12.0" customHeight="1">
      <c r="A605" s="1"/>
      <c r="BR605" s="3"/>
      <c r="BS605" s="3"/>
    </row>
    <row r="606" ht="12.0" customHeight="1">
      <c r="A606" s="1"/>
      <c r="BR606" s="3"/>
      <c r="BS606" s="3"/>
    </row>
    <row r="607" ht="12.0" customHeight="1">
      <c r="A607" s="1"/>
      <c r="BR607" s="3"/>
      <c r="BS607" s="3"/>
    </row>
    <row r="608" ht="12.0" customHeight="1">
      <c r="A608" s="1"/>
      <c r="BR608" s="3"/>
      <c r="BS608" s="3"/>
    </row>
    <row r="609" ht="12.0" customHeight="1">
      <c r="A609" s="1"/>
      <c r="BR609" s="3"/>
      <c r="BS609" s="3"/>
    </row>
    <row r="610" ht="12.0" customHeight="1">
      <c r="A610" s="1"/>
      <c r="BR610" s="3"/>
      <c r="BS610" s="3"/>
    </row>
    <row r="611" ht="12.0" customHeight="1">
      <c r="A611" s="1"/>
      <c r="BR611" s="3"/>
      <c r="BS611" s="3"/>
    </row>
    <row r="612" ht="12.0" customHeight="1">
      <c r="A612" s="1"/>
      <c r="BR612" s="3"/>
      <c r="BS612" s="3"/>
    </row>
    <row r="613" ht="12.0" customHeight="1">
      <c r="A613" s="1"/>
      <c r="BR613" s="3"/>
      <c r="BS613" s="3"/>
    </row>
    <row r="614" ht="12.0" customHeight="1">
      <c r="A614" s="1"/>
      <c r="BR614" s="3"/>
      <c r="BS614" s="3"/>
    </row>
    <row r="615" ht="12.0" customHeight="1">
      <c r="A615" s="1"/>
      <c r="BR615" s="3"/>
      <c r="BS615" s="3"/>
    </row>
    <row r="616" ht="12.0" customHeight="1">
      <c r="A616" s="1"/>
      <c r="BR616" s="3"/>
      <c r="BS616" s="3"/>
    </row>
    <row r="617" ht="12.0" customHeight="1">
      <c r="A617" s="1"/>
      <c r="BR617" s="3"/>
      <c r="BS617" s="3"/>
    </row>
    <row r="618" ht="12.0" customHeight="1">
      <c r="A618" s="1"/>
      <c r="BR618" s="3"/>
      <c r="BS618" s="3"/>
    </row>
    <row r="619" ht="12.0" customHeight="1">
      <c r="A619" s="1"/>
      <c r="BR619" s="3"/>
      <c r="BS619" s="3"/>
    </row>
    <row r="620" ht="12.0" customHeight="1">
      <c r="A620" s="1"/>
      <c r="BR620" s="3"/>
      <c r="BS620" s="3"/>
    </row>
    <row r="621" ht="12.0" customHeight="1">
      <c r="A621" s="1"/>
      <c r="BR621" s="3"/>
      <c r="BS621" s="3"/>
    </row>
    <row r="622" ht="12.0" customHeight="1">
      <c r="A622" s="1"/>
      <c r="BR622" s="3"/>
      <c r="BS622" s="3"/>
    </row>
    <row r="623" ht="12.0" customHeight="1">
      <c r="A623" s="1"/>
      <c r="BR623" s="3"/>
      <c r="BS623" s="3"/>
    </row>
    <row r="624" ht="12.0" customHeight="1">
      <c r="A624" s="1"/>
      <c r="BR624" s="3"/>
      <c r="BS624" s="3"/>
    </row>
    <row r="625" ht="12.0" customHeight="1">
      <c r="A625" s="1"/>
      <c r="BR625" s="3"/>
      <c r="BS625" s="3"/>
    </row>
    <row r="626" ht="12.0" customHeight="1">
      <c r="A626" s="1"/>
      <c r="BR626" s="3"/>
      <c r="BS626" s="3"/>
    </row>
    <row r="627" ht="12.0" customHeight="1">
      <c r="A627" s="1"/>
      <c r="BR627" s="3"/>
      <c r="BS627" s="3"/>
    </row>
    <row r="628" ht="12.0" customHeight="1">
      <c r="A628" s="1"/>
      <c r="BR628" s="3"/>
      <c r="BS628" s="3"/>
    </row>
    <row r="629" ht="12.0" customHeight="1">
      <c r="A629" s="1"/>
      <c r="BR629" s="3"/>
      <c r="BS629" s="3"/>
    </row>
    <row r="630" ht="12.0" customHeight="1">
      <c r="A630" s="1"/>
      <c r="BR630" s="3"/>
      <c r="BS630" s="3"/>
    </row>
    <row r="631" ht="12.0" customHeight="1">
      <c r="A631" s="1"/>
      <c r="BR631" s="3"/>
      <c r="BS631" s="3"/>
    </row>
    <row r="632" ht="12.0" customHeight="1">
      <c r="A632" s="1"/>
      <c r="BR632" s="3"/>
      <c r="BS632" s="3"/>
    </row>
    <row r="633" ht="12.0" customHeight="1">
      <c r="A633" s="1"/>
      <c r="BR633" s="3"/>
      <c r="BS633" s="3"/>
    </row>
    <row r="634" ht="12.0" customHeight="1">
      <c r="A634" s="1"/>
      <c r="BR634" s="3"/>
      <c r="BS634" s="3"/>
    </row>
    <row r="635" ht="12.0" customHeight="1">
      <c r="A635" s="1"/>
      <c r="BR635" s="3"/>
      <c r="BS635" s="3"/>
    </row>
    <row r="636" ht="12.0" customHeight="1">
      <c r="A636" s="1"/>
      <c r="BR636" s="3"/>
      <c r="BS636" s="3"/>
    </row>
    <row r="637" ht="12.0" customHeight="1">
      <c r="A637" s="1"/>
      <c r="BR637" s="3"/>
      <c r="BS637" s="3"/>
    </row>
    <row r="638" ht="12.0" customHeight="1">
      <c r="A638" s="1"/>
      <c r="BR638" s="3"/>
      <c r="BS638" s="3"/>
    </row>
    <row r="639" ht="12.0" customHeight="1">
      <c r="A639" s="1"/>
      <c r="BR639" s="3"/>
      <c r="BS639" s="3"/>
    </row>
    <row r="640" ht="12.0" customHeight="1">
      <c r="A640" s="1"/>
      <c r="BR640" s="3"/>
      <c r="BS640" s="3"/>
    </row>
    <row r="641" ht="12.0" customHeight="1">
      <c r="A641" s="1"/>
      <c r="BR641" s="3"/>
      <c r="BS641" s="3"/>
    </row>
    <row r="642" ht="12.0" customHeight="1">
      <c r="A642" s="1"/>
      <c r="BR642" s="3"/>
      <c r="BS642" s="3"/>
    </row>
    <row r="643" ht="12.0" customHeight="1">
      <c r="A643" s="1"/>
      <c r="BR643" s="3"/>
      <c r="BS643" s="3"/>
    </row>
    <row r="644" ht="12.0" customHeight="1">
      <c r="A644" s="1"/>
      <c r="BR644" s="3"/>
      <c r="BS644" s="3"/>
    </row>
    <row r="645" ht="12.0" customHeight="1">
      <c r="A645" s="1"/>
      <c r="BR645" s="3"/>
      <c r="BS645" s="3"/>
    </row>
    <row r="646" ht="12.0" customHeight="1">
      <c r="A646" s="1"/>
      <c r="BR646" s="3"/>
      <c r="BS646" s="3"/>
    </row>
    <row r="647" ht="12.0" customHeight="1">
      <c r="A647" s="1"/>
      <c r="BR647" s="3"/>
      <c r="BS647" s="3"/>
    </row>
    <row r="648" ht="12.0" customHeight="1">
      <c r="A648" s="1"/>
      <c r="BR648" s="3"/>
      <c r="BS648" s="3"/>
    </row>
    <row r="649" ht="12.0" customHeight="1">
      <c r="A649" s="1"/>
      <c r="BR649" s="3"/>
      <c r="BS649" s="3"/>
    </row>
    <row r="650" ht="12.0" customHeight="1">
      <c r="A650" s="1"/>
      <c r="BR650" s="3"/>
      <c r="BS650" s="3"/>
    </row>
    <row r="651" ht="12.0" customHeight="1">
      <c r="A651" s="1"/>
      <c r="BR651" s="3"/>
      <c r="BS651" s="3"/>
    </row>
    <row r="652" ht="12.0" customHeight="1">
      <c r="A652" s="1"/>
      <c r="BR652" s="3"/>
      <c r="BS652" s="3"/>
    </row>
    <row r="653" ht="12.0" customHeight="1">
      <c r="A653" s="1"/>
      <c r="BR653" s="3"/>
      <c r="BS653" s="3"/>
    </row>
    <row r="654" ht="12.0" customHeight="1">
      <c r="A654" s="1"/>
      <c r="BR654" s="3"/>
      <c r="BS654" s="3"/>
    </row>
    <row r="655" ht="12.0" customHeight="1">
      <c r="A655" s="1"/>
      <c r="BR655" s="3"/>
      <c r="BS655" s="3"/>
    </row>
    <row r="656" ht="12.0" customHeight="1">
      <c r="A656" s="1"/>
      <c r="BR656" s="3"/>
      <c r="BS656" s="3"/>
    </row>
    <row r="657" ht="12.0" customHeight="1">
      <c r="A657" s="1"/>
      <c r="BR657" s="3"/>
      <c r="BS657" s="3"/>
    </row>
    <row r="658" ht="12.0" customHeight="1">
      <c r="A658" s="1"/>
      <c r="BR658" s="3"/>
      <c r="BS658" s="3"/>
    </row>
    <row r="659" ht="12.0" customHeight="1">
      <c r="A659" s="1"/>
      <c r="BR659" s="3"/>
      <c r="BS659" s="3"/>
    </row>
    <row r="660" ht="12.0" customHeight="1">
      <c r="A660" s="1"/>
      <c r="BR660" s="3"/>
      <c r="BS660" s="3"/>
    </row>
    <row r="661" ht="12.0" customHeight="1">
      <c r="A661" s="1"/>
      <c r="BR661" s="3"/>
      <c r="BS661" s="3"/>
    </row>
    <row r="662" ht="12.0" customHeight="1">
      <c r="A662" s="1"/>
      <c r="BR662" s="3"/>
      <c r="BS662" s="3"/>
    </row>
    <row r="663" ht="12.0" customHeight="1">
      <c r="A663" s="1"/>
      <c r="BR663" s="3"/>
      <c r="BS663" s="3"/>
    </row>
    <row r="664" ht="12.0" customHeight="1">
      <c r="A664" s="1"/>
      <c r="BR664" s="3"/>
      <c r="BS664" s="3"/>
    </row>
    <row r="665" ht="12.0" customHeight="1">
      <c r="A665" s="1"/>
      <c r="BR665" s="3"/>
      <c r="BS665" s="3"/>
    </row>
    <row r="666" ht="12.0" customHeight="1">
      <c r="A666" s="1"/>
      <c r="BR666" s="3"/>
      <c r="BS666" s="3"/>
    </row>
    <row r="667" ht="12.0" customHeight="1">
      <c r="A667" s="1"/>
      <c r="BR667" s="3"/>
      <c r="BS667" s="3"/>
    </row>
    <row r="668" ht="12.0" customHeight="1">
      <c r="A668" s="1"/>
      <c r="BR668" s="3"/>
      <c r="BS668" s="3"/>
    </row>
    <row r="669" ht="12.0" customHeight="1">
      <c r="A669" s="1"/>
      <c r="BR669" s="3"/>
      <c r="BS669" s="3"/>
    </row>
    <row r="670" ht="12.0" customHeight="1">
      <c r="A670" s="1"/>
      <c r="BR670" s="3"/>
      <c r="BS670" s="3"/>
    </row>
    <row r="671" ht="12.0" customHeight="1">
      <c r="A671" s="1"/>
      <c r="BR671" s="3"/>
      <c r="BS671" s="3"/>
    </row>
    <row r="672" ht="12.0" customHeight="1">
      <c r="A672" s="1"/>
      <c r="BR672" s="3"/>
      <c r="BS672" s="3"/>
    </row>
    <row r="673" ht="12.0" customHeight="1">
      <c r="A673" s="1"/>
      <c r="BR673" s="3"/>
      <c r="BS673" s="3"/>
    </row>
    <row r="674" ht="12.0" customHeight="1">
      <c r="A674" s="1"/>
      <c r="BR674" s="3"/>
      <c r="BS674" s="3"/>
    </row>
    <row r="675" ht="12.0" customHeight="1">
      <c r="A675" s="1"/>
      <c r="BR675" s="3"/>
      <c r="BS675" s="3"/>
    </row>
    <row r="676" ht="12.0" customHeight="1">
      <c r="A676" s="1"/>
      <c r="BR676" s="3"/>
      <c r="BS676" s="3"/>
    </row>
    <row r="677" ht="12.0" customHeight="1">
      <c r="A677" s="1"/>
      <c r="BR677" s="3"/>
      <c r="BS677" s="3"/>
    </row>
    <row r="678" ht="12.0" customHeight="1">
      <c r="A678" s="1"/>
      <c r="BR678" s="3"/>
      <c r="BS678" s="3"/>
    </row>
    <row r="679" ht="12.0" customHeight="1">
      <c r="A679" s="1"/>
      <c r="BR679" s="3"/>
      <c r="BS679" s="3"/>
    </row>
    <row r="680" ht="12.0" customHeight="1">
      <c r="A680" s="1"/>
      <c r="BR680" s="3"/>
      <c r="BS680" s="3"/>
    </row>
    <row r="681" ht="12.0" customHeight="1">
      <c r="A681" s="1"/>
      <c r="BR681" s="3"/>
      <c r="BS681" s="3"/>
    </row>
    <row r="682" ht="12.0" customHeight="1">
      <c r="A682" s="1"/>
      <c r="BR682" s="3"/>
      <c r="BS682" s="3"/>
    </row>
    <row r="683" ht="12.0" customHeight="1">
      <c r="A683" s="1"/>
      <c r="BR683" s="3"/>
      <c r="BS683" s="3"/>
    </row>
    <row r="684" ht="12.0" customHeight="1">
      <c r="A684" s="1"/>
      <c r="BR684" s="3"/>
      <c r="BS684" s="3"/>
    </row>
    <row r="685" ht="12.0" customHeight="1">
      <c r="A685" s="1"/>
      <c r="BR685" s="3"/>
      <c r="BS685" s="3"/>
    </row>
    <row r="686" ht="12.0" customHeight="1">
      <c r="A686" s="1"/>
      <c r="BR686" s="3"/>
      <c r="BS686" s="3"/>
    </row>
    <row r="687" ht="12.0" customHeight="1">
      <c r="A687" s="1"/>
      <c r="BR687" s="3"/>
      <c r="BS687" s="3"/>
    </row>
    <row r="688" ht="12.0" customHeight="1">
      <c r="A688" s="1"/>
      <c r="BR688" s="3"/>
      <c r="BS688" s="3"/>
    </row>
    <row r="689" ht="12.0" customHeight="1">
      <c r="A689" s="1"/>
      <c r="BR689" s="3"/>
      <c r="BS689" s="3"/>
    </row>
    <row r="690" ht="12.0" customHeight="1">
      <c r="A690" s="1"/>
      <c r="BR690" s="3"/>
      <c r="BS690" s="3"/>
    </row>
    <row r="691" ht="12.0" customHeight="1">
      <c r="A691" s="1"/>
      <c r="BR691" s="3"/>
      <c r="BS691" s="3"/>
    </row>
    <row r="692" ht="12.0" customHeight="1">
      <c r="A692" s="1"/>
      <c r="BR692" s="3"/>
      <c r="BS692" s="3"/>
    </row>
    <row r="693" ht="12.0" customHeight="1">
      <c r="A693" s="1"/>
      <c r="BR693" s="3"/>
      <c r="BS693" s="3"/>
    </row>
    <row r="694" ht="12.0" customHeight="1">
      <c r="A694" s="1"/>
      <c r="BR694" s="3"/>
      <c r="BS694" s="3"/>
    </row>
    <row r="695" ht="12.0" customHeight="1">
      <c r="A695" s="1"/>
      <c r="BR695" s="3"/>
      <c r="BS695" s="3"/>
    </row>
    <row r="696" ht="12.0" customHeight="1">
      <c r="A696" s="1"/>
      <c r="BR696" s="3"/>
      <c r="BS696" s="3"/>
    </row>
    <row r="697" ht="12.0" customHeight="1">
      <c r="A697" s="1"/>
      <c r="BR697" s="3"/>
      <c r="BS697" s="3"/>
    </row>
    <row r="698" ht="12.0" customHeight="1">
      <c r="A698" s="1"/>
      <c r="BR698" s="3"/>
      <c r="BS698" s="3"/>
    </row>
    <row r="699" ht="12.0" customHeight="1">
      <c r="A699" s="1"/>
      <c r="BR699" s="3"/>
      <c r="BS699" s="3"/>
    </row>
    <row r="700" ht="12.0" customHeight="1">
      <c r="A700" s="1"/>
      <c r="BR700" s="3"/>
      <c r="BS700" s="3"/>
    </row>
    <row r="701" ht="12.0" customHeight="1">
      <c r="A701" s="1"/>
      <c r="BR701" s="3"/>
      <c r="BS701" s="3"/>
    </row>
    <row r="702" ht="12.0" customHeight="1">
      <c r="A702" s="1"/>
      <c r="BR702" s="3"/>
      <c r="BS702" s="3"/>
    </row>
    <row r="703" ht="12.0" customHeight="1">
      <c r="A703" s="1"/>
      <c r="BR703" s="3"/>
      <c r="BS703" s="3"/>
    </row>
    <row r="704" ht="12.0" customHeight="1">
      <c r="A704" s="1"/>
      <c r="BR704" s="3"/>
      <c r="BS704" s="3"/>
    </row>
    <row r="705" ht="12.0" customHeight="1">
      <c r="A705" s="1"/>
      <c r="BR705" s="3"/>
      <c r="BS705" s="3"/>
    </row>
    <row r="706" ht="12.0" customHeight="1">
      <c r="A706" s="1"/>
      <c r="BR706" s="3"/>
      <c r="BS706" s="3"/>
    </row>
    <row r="707" ht="12.0" customHeight="1">
      <c r="A707" s="1"/>
      <c r="BR707" s="3"/>
      <c r="BS707" s="3"/>
    </row>
    <row r="708" ht="12.0" customHeight="1">
      <c r="A708" s="1"/>
      <c r="BR708" s="3"/>
      <c r="BS708" s="3"/>
    </row>
    <row r="709" ht="12.0" customHeight="1">
      <c r="A709" s="1"/>
      <c r="BR709" s="3"/>
      <c r="BS709" s="3"/>
    </row>
    <row r="710" ht="12.0" customHeight="1">
      <c r="A710" s="1"/>
      <c r="BR710" s="3"/>
      <c r="BS710" s="3"/>
    </row>
    <row r="711" ht="12.0" customHeight="1">
      <c r="A711" s="1"/>
      <c r="BR711" s="3"/>
      <c r="BS711" s="3"/>
    </row>
    <row r="712" ht="12.0" customHeight="1">
      <c r="A712" s="1"/>
      <c r="BR712" s="3"/>
      <c r="BS712" s="3"/>
    </row>
    <row r="713" ht="12.0" customHeight="1">
      <c r="A713" s="1"/>
      <c r="BR713" s="3"/>
      <c r="BS713" s="3"/>
    </row>
    <row r="714" ht="12.0" customHeight="1">
      <c r="A714" s="1"/>
      <c r="BR714" s="3"/>
      <c r="BS714" s="3"/>
    </row>
    <row r="715" ht="12.0" customHeight="1">
      <c r="A715" s="1"/>
      <c r="BR715" s="3"/>
      <c r="BS715" s="3"/>
    </row>
    <row r="716" ht="12.0" customHeight="1">
      <c r="A716" s="1"/>
      <c r="BR716" s="3"/>
      <c r="BS716" s="3"/>
    </row>
    <row r="717" ht="12.0" customHeight="1">
      <c r="A717" s="1"/>
      <c r="BR717" s="3"/>
      <c r="BS717" s="3"/>
    </row>
    <row r="718" ht="12.0" customHeight="1">
      <c r="A718" s="1"/>
      <c r="BR718" s="3"/>
      <c r="BS718" s="3"/>
    </row>
    <row r="719" ht="12.0" customHeight="1">
      <c r="A719" s="1"/>
      <c r="BR719" s="3"/>
      <c r="BS719" s="3"/>
    </row>
    <row r="720" ht="12.0" customHeight="1">
      <c r="A720" s="1"/>
      <c r="BR720" s="3"/>
      <c r="BS720" s="3"/>
    </row>
    <row r="721" ht="12.0" customHeight="1">
      <c r="A721" s="1"/>
      <c r="BR721" s="3"/>
      <c r="BS721" s="3"/>
    </row>
    <row r="722" ht="12.0" customHeight="1">
      <c r="A722" s="1"/>
      <c r="BR722" s="3"/>
      <c r="BS722" s="3"/>
    </row>
    <row r="723" ht="12.0" customHeight="1">
      <c r="A723" s="1"/>
      <c r="BR723" s="3"/>
      <c r="BS723" s="3"/>
    </row>
    <row r="724" ht="12.0" customHeight="1">
      <c r="A724" s="1"/>
      <c r="BR724" s="3"/>
      <c r="BS724" s="3"/>
    </row>
    <row r="725" ht="12.0" customHeight="1">
      <c r="A725" s="1"/>
      <c r="BR725" s="3"/>
      <c r="BS725" s="3"/>
    </row>
    <row r="726" ht="12.0" customHeight="1">
      <c r="A726" s="1"/>
      <c r="BR726" s="3"/>
      <c r="BS726" s="3"/>
    </row>
    <row r="727" ht="12.0" customHeight="1">
      <c r="A727" s="1"/>
      <c r="BR727" s="3"/>
      <c r="BS727" s="3"/>
    </row>
    <row r="728" ht="12.0" customHeight="1">
      <c r="A728" s="1"/>
      <c r="BR728" s="3"/>
      <c r="BS728" s="3"/>
    </row>
    <row r="729" ht="12.0" customHeight="1">
      <c r="A729" s="1"/>
      <c r="BR729" s="3"/>
      <c r="BS729" s="3"/>
    </row>
    <row r="730" ht="12.0" customHeight="1">
      <c r="A730" s="1"/>
      <c r="BR730" s="3"/>
      <c r="BS730" s="3"/>
    </row>
    <row r="731" ht="12.0" customHeight="1">
      <c r="A731" s="1"/>
      <c r="BR731" s="3"/>
      <c r="BS731" s="3"/>
    </row>
    <row r="732" ht="12.0" customHeight="1">
      <c r="A732" s="1"/>
      <c r="BR732" s="3"/>
      <c r="BS732" s="3"/>
    </row>
    <row r="733" ht="12.0" customHeight="1">
      <c r="A733" s="1"/>
      <c r="BR733" s="3"/>
      <c r="BS733" s="3"/>
    </row>
    <row r="734" ht="12.0" customHeight="1">
      <c r="A734" s="1"/>
      <c r="BR734" s="3"/>
      <c r="BS734" s="3"/>
    </row>
    <row r="735" ht="12.0" customHeight="1">
      <c r="A735" s="1"/>
      <c r="BR735" s="3"/>
      <c r="BS735" s="3"/>
    </row>
    <row r="736" ht="12.0" customHeight="1">
      <c r="A736" s="1"/>
      <c r="BR736" s="3"/>
      <c r="BS736" s="3"/>
    </row>
    <row r="737" ht="12.0" customHeight="1">
      <c r="A737" s="1"/>
      <c r="BR737" s="3"/>
      <c r="BS737" s="3"/>
    </row>
    <row r="738" ht="12.0" customHeight="1">
      <c r="A738" s="1"/>
      <c r="BR738" s="3"/>
      <c r="BS738" s="3"/>
    </row>
    <row r="739" ht="12.0" customHeight="1">
      <c r="A739" s="1"/>
      <c r="BR739" s="3"/>
      <c r="BS739" s="3"/>
    </row>
    <row r="740" ht="12.0" customHeight="1">
      <c r="A740" s="1"/>
      <c r="BR740" s="3"/>
      <c r="BS740" s="3"/>
    </row>
    <row r="741" ht="12.0" customHeight="1">
      <c r="A741" s="1"/>
      <c r="BR741" s="3"/>
      <c r="BS741" s="3"/>
    </row>
    <row r="742" ht="12.0" customHeight="1">
      <c r="A742" s="1"/>
      <c r="BR742" s="3"/>
      <c r="BS742" s="3"/>
    </row>
    <row r="743" ht="12.0" customHeight="1">
      <c r="A743" s="1"/>
      <c r="BR743" s="3"/>
      <c r="BS743" s="3"/>
    </row>
    <row r="744" ht="12.0" customHeight="1">
      <c r="A744" s="1"/>
      <c r="BR744" s="3"/>
      <c r="BS744" s="3"/>
    </row>
    <row r="745" ht="12.0" customHeight="1">
      <c r="A745" s="1"/>
      <c r="BR745" s="3"/>
      <c r="BS745" s="3"/>
    </row>
    <row r="746" ht="12.0" customHeight="1">
      <c r="A746" s="1"/>
      <c r="BR746" s="3"/>
      <c r="BS746" s="3"/>
    </row>
    <row r="747" ht="12.0" customHeight="1">
      <c r="A747" s="1"/>
      <c r="BR747" s="3"/>
      <c r="BS747" s="3"/>
    </row>
    <row r="748" ht="12.0" customHeight="1">
      <c r="A748" s="1"/>
      <c r="BR748" s="3"/>
      <c r="BS748" s="3"/>
    </row>
    <row r="749" ht="12.0" customHeight="1">
      <c r="A749" s="1"/>
      <c r="BR749" s="3"/>
      <c r="BS749" s="3"/>
    </row>
    <row r="750" ht="12.0" customHeight="1">
      <c r="A750" s="1"/>
      <c r="BR750" s="3"/>
      <c r="BS750" s="3"/>
    </row>
    <row r="751" ht="12.0" customHeight="1">
      <c r="A751" s="1"/>
      <c r="BR751" s="3"/>
      <c r="BS751" s="3"/>
    </row>
    <row r="752" ht="12.0" customHeight="1">
      <c r="A752" s="1"/>
      <c r="BR752" s="3"/>
      <c r="BS752" s="3"/>
    </row>
    <row r="753" ht="12.0" customHeight="1">
      <c r="A753" s="1"/>
      <c r="BR753" s="3"/>
      <c r="BS753" s="3"/>
    </row>
    <row r="754" ht="12.0" customHeight="1">
      <c r="A754" s="1"/>
      <c r="BR754" s="3"/>
      <c r="BS754" s="3"/>
    </row>
    <row r="755" ht="12.0" customHeight="1">
      <c r="A755" s="1"/>
      <c r="BR755" s="3"/>
      <c r="BS755" s="3"/>
    </row>
    <row r="756" ht="12.0" customHeight="1">
      <c r="A756" s="1"/>
      <c r="BR756" s="3"/>
      <c r="BS756" s="3"/>
    </row>
    <row r="757" ht="12.0" customHeight="1">
      <c r="A757" s="1"/>
      <c r="BR757" s="3"/>
      <c r="BS757" s="3"/>
    </row>
    <row r="758" ht="12.0" customHeight="1">
      <c r="A758" s="1"/>
      <c r="BR758" s="3"/>
      <c r="BS758" s="3"/>
    </row>
    <row r="759" ht="12.0" customHeight="1">
      <c r="A759" s="1"/>
      <c r="BR759" s="3"/>
      <c r="BS759" s="3"/>
    </row>
    <row r="760" ht="12.0" customHeight="1">
      <c r="A760" s="1"/>
      <c r="BR760" s="3"/>
      <c r="BS760" s="3"/>
    </row>
    <row r="761" ht="12.0" customHeight="1">
      <c r="A761" s="1"/>
      <c r="BR761" s="3"/>
      <c r="BS761" s="3"/>
    </row>
    <row r="762" ht="12.0" customHeight="1">
      <c r="A762" s="1"/>
      <c r="BR762" s="3"/>
      <c r="BS762" s="3"/>
    </row>
    <row r="763" ht="12.0" customHeight="1">
      <c r="A763" s="1"/>
      <c r="BR763" s="3"/>
      <c r="BS763" s="3"/>
    </row>
    <row r="764" ht="12.0" customHeight="1">
      <c r="A764" s="1"/>
      <c r="BR764" s="3"/>
      <c r="BS764" s="3"/>
    </row>
    <row r="765" ht="12.0" customHeight="1">
      <c r="A765" s="1"/>
      <c r="BR765" s="3"/>
      <c r="BS765" s="3"/>
    </row>
    <row r="766" ht="12.0" customHeight="1">
      <c r="A766" s="1"/>
      <c r="BR766" s="3"/>
      <c r="BS766" s="3"/>
    </row>
    <row r="767" ht="12.0" customHeight="1">
      <c r="A767" s="1"/>
      <c r="BR767" s="3"/>
      <c r="BS767" s="3"/>
    </row>
    <row r="768" ht="12.0" customHeight="1">
      <c r="A768" s="1"/>
      <c r="BR768" s="3"/>
      <c r="BS768" s="3"/>
    </row>
    <row r="769" ht="12.0" customHeight="1">
      <c r="A769" s="1"/>
      <c r="BR769" s="3"/>
      <c r="BS769" s="3"/>
    </row>
    <row r="770" ht="12.0" customHeight="1">
      <c r="A770" s="1"/>
      <c r="BR770" s="3"/>
      <c r="BS770" s="3"/>
    </row>
    <row r="771" ht="12.0" customHeight="1">
      <c r="A771" s="1"/>
      <c r="BR771" s="3"/>
      <c r="BS771" s="3"/>
    </row>
    <row r="772" ht="12.0" customHeight="1">
      <c r="A772" s="1"/>
      <c r="BR772" s="3"/>
      <c r="BS772" s="3"/>
    </row>
    <row r="773" ht="12.0" customHeight="1">
      <c r="A773" s="1"/>
      <c r="BR773" s="3"/>
      <c r="BS773" s="3"/>
    </row>
    <row r="774" ht="12.0" customHeight="1">
      <c r="A774" s="1"/>
      <c r="BR774" s="3"/>
      <c r="BS774" s="3"/>
    </row>
    <row r="775" ht="12.0" customHeight="1">
      <c r="A775" s="1"/>
      <c r="BR775" s="3"/>
      <c r="BS775" s="3"/>
    </row>
    <row r="776" ht="12.0" customHeight="1">
      <c r="A776" s="1"/>
      <c r="BR776" s="3"/>
      <c r="BS776" s="3"/>
    </row>
    <row r="777" ht="12.0" customHeight="1">
      <c r="A777" s="1"/>
      <c r="BR777" s="3"/>
      <c r="BS777" s="3"/>
    </row>
    <row r="778" ht="12.0" customHeight="1">
      <c r="A778" s="1"/>
      <c r="BR778" s="3"/>
      <c r="BS778" s="3"/>
    </row>
    <row r="779" ht="12.0" customHeight="1">
      <c r="A779" s="1"/>
      <c r="BR779" s="3"/>
      <c r="BS779" s="3"/>
    </row>
    <row r="780" ht="12.0" customHeight="1">
      <c r="A780" s="1"/>
      <c r="BR780" s="3"/>
      <c r="BS780" s="3"/>
    </row>
    <row r="781" ht="12.0" customHeight="1">
      <c r="A781" s="1"/>
      <c r="BR781" s="3"/>
      <c r="BS781" s="3"/>
    </row>
    <row r="782" ht="12.0" customHeight="1">
      <c r="A782" s="1"/>
      <c r="BR782" s="3"/>
      <c r="BS782" s="3"/>
    </row>
    <row r="783" ht="12.0" customHeight="1">
      <c r="A783" s="1"/>
      <c r="BR783" s="3"/>
      <c r="BS783" s="3"/>
    </row>
    <row r="784" ht="12.0" customHeight="1">
      <c r="A784" s="1"/>
      <c r="BR784" s="3"/>
      <c r="BS784" s="3"/>
    </row>
    <row r="785" ht="12.0" customHeight="1">
      <c r="A785" s="1"/>
      <c r="BR785" s="3"/>
      <c r="BS785" s="3"/>
    </row>
    <row r="786" ht="12.0" customHeight="1">
      <c r="A786" s="1"/>
      <c r="BR786" s="3"/>
      <c r="BS786" s="3"/>
    </row>
    <row r="787" ht="12.0" customHeight="1">
      <c r="A787" s="1"/>
      <c r="BR787" s="3"/>
      <c r="BS787" s="3"/>
    </row>
    <row r="788" ht="12.0" customHeight="1">
      <c r="A788" s="1"/>
      <c r="BR788" s="3"/>
      <c r="BS788" s="3"/>
    </row>
    <row r="789" ht="12.0" customHeight="1">
      <c r="A789" s="1"/>
      <c r="BR789" s="3"/>
      <c r="BS789" s="3"/>
    </row>
    <row r="790" ht="12.0" customHeight="1">
      <c r="A790" s="1"/>
      <c r="BR790" s="3"/>
      <c r="BS790" s="3"/>
    </row>
    <row r="791" ht="12.0" customHeight="1">
      <c r="A791" s="1"/>
      <c r="BR791" s="3"/>
      <c r="BS791" s="3"/>
    </row>
    <row r="792" ht="12.0" customHeight="1">
      <c r="A792" s="1"/>
      <c r="BR792" s="3"/>
      <c r="BS792" s="3"/>
    </row>
    <row r="793" ht="12.0" customHeight="1">
      <c r="A793" s="1"/>
      <c r="BR793" s="3"/>
      <c r="BS793" s="3"/>
    </row>
    <row r="794" ht="12.0" customHeight="1">
      <c r="A794" s="1"/>
      <c r="BR794" s="3"/>
      <c r="BS794" s="3"/>
    </row>
    <row r="795" ht="12.0" customHeight="1">
      <c r="A795" s="1"/>
      <c r="BR795" s="3"/>
      <c r="BS795" s="3"/>
    </row>
    <row r="796" ht="12.0" customHeight="1">
      <c r="A796" s="1"/>
      <c r="BR796" s="3"/>
      <c r="BS796" s="3"/>
    </row>
    <row r="797" ht="12.0" customHeight="1">
      <c r="A797" s="1"/>
      <c r="BR797" s="3"/>
      <c r="BS797" s="3"/>
    </row>
    <row r="798" ht="12.0" customHeight="1">
      <c r="A798" s="1"/>
      <c r="BR798" s="3"/>
      <c r="BS798" s="3"/>
    </row>
    <row r="799" ht="12.0" customHeight="1">
      <c r="A799" s="1"/>
      <c r="BR799" s="3"/>
      <c r="BS799" s="3"/>
    </row>
    <row r="800" ht="12.0" customHeight="1">
      <c r="A800" s="1"/>
      <c r="BR800" s="3"/>
      <c r="BS800" s="3"/>
    </row>
    <row r="801" ht="12.0" customHeight="1">
      <c r="A801" s="1"/>
      <c r="BR801" s="3"/>
      <c r="BS801" s="3"/>
    </row>
    <row r="802" ht="12.0" customHeight="1">
      <c r="A802" s="1"/>
      <c r="BR802" s="3"/>
      <c r="BS802" s="3"/>
    </row>
    <row r="803" ht="12.0" customHeight="1">
      <c r="A803" s="1"/>
      <c r="BR803" s="3"/>
      <c r="BS803" s="3"/>
    </row>
    <row r="804" ht="12.0" customHeight="1">
      <c r="A804" s="1"/>
      <c r="BR804" s="3"/>
      <c r="BS804" s="3"/>
    </row>
    <row r="805" ht="12.0" customHeight="1">
      <c r="A805" s="1"/>
      <c r="BR805" s="3"/>
      <c r="BS805" s="3"/>
    </row>
    <row r="806" ht="12.0" customHeight="1">
      <c r="A806" s="1"/>
      <c r="BR806" s="3"/>
      <c r="BS806" s="3"/>
    </row>
    <row r="807" ht="12.0" customHeight="1">
      <c r="A807" s="1"/>
      <c r="BR807" s="3"/>
      <c r="BS807" s="3"/>
    </row>
    <row r="808" ht="12.0" customHeight="1">
      <c r="A808" s="1"/>
      <c r="BR808" s="3"/>
      <c r="BS808" s="3"/>
    </row>
    <row r="809" ht="12.0" customHeight="1">
      <c r="A809" s="1"/>
      <c r="BR809" s="3"/>
      <c r="BS809" s="3"/>
    </row>
    <row r="810" ht="12.0" customHeight="1">
      <c r="A810" s="1"/>
      <c r="BR810" s="3"/>
      <c r="BS810" s="3"/>
    </row>
    <row r="811" ht="12.0" customHeight="1">
      <c r="A811" s="1"/>
      <c r="BR811" s="3"/>
      <c r="BS811" s="3"/>
    </row>
    <row r="812" ht="12.0" customHeight="1">
      <c r="A812" s="1"/>
      <c r="BR812" s="3"/>
      <c r="BS812" s="3"/>
    </row>
    <row r="813" ht="12.0" customHeight="1">
      <c r="A813" s="1"/>
      <c r="BR813" s="3"/>
      <c r="BS813" s="3"/>
    </row>
    <row r="814" ht="12.0" customHeight="1">
      <c r="A814" s="1"/>
      <c r="BR814" s="3"/>
      <c r="BS814" s="3"/>
    </row>
    <row r="815" ht="12.0" customHeight="1">
      <c r="A815" s="1"/>
      <c r="BR815" s="3"/>
      <c r="BS815" s="3"/>
    </row>
    <row r="816" ht="12.0" customHeight="1">
      <c r="A816" s="1"/>
      <c r="BR816" s="3"/>
      <c r="BS816" s="3"/>
    </row>
    <row r="817" ht="12.0" customHeight="1">
      <c r="A817" s="1"/>
      <c r="BR817" s="3"/>
      <c r="BS817" s="3"/>
    </row>
    <row r="818" ht="12.0" customHeight="1">
      <c r="A818" s="1"/>
      <c r="BR818" s="3"/>
      <c r="BS818" s="3"/>
    </row>
    <row r="819" ht="12.0" customHeight="1">
      <c r="A819" s="1"/>
      <c r="BR819" s="3"/>
      <c r="BS819" s="3"/>
    </row>
    <row r="820" ht="12.0" customHeight="1">
      <c r="A820" s="1"/>
      <c r="BR820" s="3"/>
      <c r="BS820" s="3"/>
    </row>
    <row r="821" ht="12.0" customHeight="1">
      <c r="A821" s="1"/>
      <c r="BR821" s="3"/>
      <c r="BS821" s="3"/>
    </row>
    <row r="822" ht="12.0" customHeight="1">
      <c r="A822" s="1"/>
      <c r="BR822" s="3"/>
      <c r="BS822" s="3"/>
    </row>
    <row r="823" ht="12.0" customHeight="1">
      <c r="A823" s="1"/>
      <c r="BR823" s="3"/>
      <c r="BS823" s="3"/>
    </row>
    <row r="824" ht="12.0" customHeight="1">
      <c r="A824" s="1"/>
      <c r="BR824" s="3"/>
      <c r="BS824" s="3"/>
    </row>
    <row r="825" ht="12.0" customHeight="1">
      <c r="A825" s="1"/>
      <c r="BR825" s="3"/>
      <c r="BS825" s="3"/>
    </row>
    <row r="826" ht="12.0" customHeight="1">
      <c r="A826" s="1"/>
      <c r="BR826" s="3"/>
      <c r="BS826" s="3"/>
    </row>
    <row r="827" ht="12.0" customHeight="1">
      <c r="A827" s="1"/>
      <c r="BR827" s="3"/>
      <c r="BS827" s="3"/>
    </row>
    <row r="828" ht="12.0" customHeight="1">
      <c r="A828" s="1"/>
      <c r="BR828" s="3"/>
      <c r="BS828" s="3"/>
    </row>
    <row r="829" ht="12.0" customHeight="1">
      <c r="A829" s="1"/>
      <c r="BR829" s="3"/>
      <c r="BS829" s="3"/>
    </row>
    <row r="830" ht="12.0" customHeight="1">
      <c r="A830" s="1"/>
      <c r="BR830" s="3"/>
      <c r="BS830" s="3"/>
    </row>
    <row r="831" ht="12.0" customHeight="1">
      <c r="A831" s="1"/>
      <c r="BR831" s="3"/>
      <c r="BS831" s="3"/>
    </row>
    <row r="832" ht="12.0" customHeight="1">
      <c r="A832" s="1"/>
      <c r="BR832" s="3"/>
      <c r="BS832" s="3"/>
    </row>
    <row r="833" ht="12.0" customHeight="1">
      <c r="A833" s="1"/>
      <c r="BR833" s="3"/>
      <c r="BS833" s="3"/>
    </row>
    <row r="834" ht="12.0" customHeight="1">
      <c r="A834" s="1"/>
      <c r="BR834" s="3"/>
      <c r="BS834" s="3"/>
    </row>
    <row r="835" ht="12.0" customHeight="1">
      <c r="A835" s="1"/>
      <c r="BR835" s="3"/>
      <c r="BS835" s="3"/>
    </row>
    <row r="836" ht="12.0" customHeight="1">
      <c r="A836" s="1"/>
      <c r="BR836" s="3"/>
      <c r="BS836" s="3"/>
    </row>
    <row r="837" ht="12.0" customHeight="1">
      <c r="A837" s="1"/>
      <c r="BR837" s="3"/>
      <c r="BS837" s="3"/>
    </row>
    <row r="838" ht="12.0" customHeight="1">
      <c r="A838" s="1"/>
      <c r="BR838" s="3"/>
      <c r="BS838" s="3"/>
    </row>
    <row r="839" ht="12.0" customHeight="1">
      <c r="A839" s="1"/>
      <c r="BR839" s="3"/>
      <c r="BS839" s="3"/>
    </row>
    <row r="840" ht="12.0" customHeight="1">
      <c r="A840" s="1"/>
      <c r="BR840" s="3"/>
      <c r="BS840" s="3"/>
    </row>
    <row r="841" ht="12.0" customHeight="1">
      <c r="A841" s="1"/>
      <c r="BR841" s="3"/>
      <c r="BS841" s="3"/>
    </row>
    <row r="842" ht="12.0" customHeight="1">
      <c r="A842" s="1"/>
      <c r="BR842" s="3"/>
      <c r="BS842" s="3"/>
    </row>
    <row r="843" ht="12.0" customHeight="1">
      <c r="A843" s="1"/>
      <c r="BR843" s="3"/>
      <c r="BS843" s="3"/>
    </row>
    <row r="844" ht="12.0" customHeight="1">
      <c r="A844" s="1"/>
      <c r="BR844" s="3"/>
      <c r="BS844" s="3"/>
    </row>
    <row r="845" ht="12.0" customHeight="1">
      <c r="A845" s="1"/>
      <c r="BR845" s="3"/>
      <c r="BS845" s="3"/>
    </row>
    <row r="846" ht="12.0" customHeight="1">
      <c r="A846" s="1"/>
      <c r="BR846" s="3"/>
      <c r="BS846" s="3"/>
    </row>
    <row r="847" ht="12.0" customHeight="1">
      <c r="A847" s="1"/>
      <c r="BR847" s="3"/>
      <c r="BS847" s="3"/>
    </row>
    <row r="848" ht="12.0" customHeight="1">
      <c r="A848" s="1"/>
      <c r="BR848" s="3"/>
      <c r="BS848" s="3"/>
    </row>
    <row r="849" ht="12.0" customHeight="1">
      <c r="A849" s="1"/>
      <c r="BR849" s="3"/>
      <c r="BS849" s="3"/>
    </row>
    <row r="850" ht="12.0" customHeight="1">
      <c r="A850" s="1"/>
      <c r="BR850" s="3"/>
      <c r="BS850" s="3"/>
    </row>
    <row r="851" ht="12.0" customHeight="1">
      <c r="A851" s="1"/>
      <c r="BR851" s="3"/>
      <c r="BS851" s="3"/>
    </row>
    <row r="852" ht="12.0" customHeight="1">
      <c r="A852" s="1"/>
      <c r="BR852" s="3"/>
      <c r="BS852" s="3"/>
    </row>
    <row r="853" ht="12.0" customHeight="1">
      <c r="A853" s="1"/>
      <c r="BR853" s="3"/>
      <c r="BS853" s="3"/>
    </row>
    <row r="854" ht="12.0" customHeight="1">
      <c r="A854" s="1"/>
      <c r="BR854" s="3"/>
      <c r="BS854" s="3"/>
    </row>
    <row r="855" ht="12.0" customHeight="1">
      <c r="A855" s="1"/>
      <c r="BR855" s="3"/>
      <c r="BS855" s="3"/>
    </row>
    <row r="856" ht="12.0" customHeight="1">
      <c r="A856" s="1"/>
      <c r="BR856" s="3"/>
      <c r="BS856" s="3"/>
    </row>
    <row r="857" ht="12.0" customHeight="1">
      <c r="A857" s="1"/>
      <c r="BR857" s="3"/>
      <c r="BS857" s="3"/>
    </row>
    <row r="858" ht="12.0" customHeight="1">
      <c r="A858" s="1"/>
      <c r="BR858" s="3"/>
      <c r="BS858" s="3"/>
    </row>
    <row r="859" ht="12.0" customHeight="1">
      <c r="A859" s="1"/>
      <c r="BR859" s="3"/>
      <c r="BS859" s="3"/>
    </row>
    <row r="860" ht="12.0" customHeight="1">
      <c r="A860" s="1"/>
      <c r="BR860" s="3"/>
      <c r="BS860" s="3"/>
    </row>
    <row r="861" ht="12.0" customHeight="1">
      <c r="A861" s="1"/>
      <c r="BR861" s="3"/>
      <c r="BS861" s="3"/>
    </row>
    <row r="862" ht="12.0" customHeight="1">
      <c r="A862" s="1"/>
      <c r="BR862" s="3"/>
      <c r="BS862" s="3"/>
    </row>
    <row r="863" ht="12.0" customHeight="1">
      <c r="A863" s="1"/>
      <c r="BR863" s="3"/>
      <c r="BS863" s="3"/>
    </row>
    <row r="864" ht="12.0" customHeight="1">
      <c r="A864" s="1"/>
      <c r="BR864" s="3"/>
      <c r="BS864" s="3"/>
    </row>
    <row r="865" ht="12.0" customHeight="1">
      <c r="A865" s="1"/>
      <c r="BR865" s="3"/>
      <c r="BS865" s="3"/>
    </row>
    <row r="866" ht="12.0" customHeight="1">
      <c r="A866" s="1"/>
      <c r="BR866" s="3"/>
      <c r="BS866" s="3"/>
    </row>
    <row r="867" ht="12.0" customHeight="1">
      <c r="A867" s="1"/>
      <c r="BR867" s="3"/>
      <c r="BS867" s="3"/>
    </row>
    <row r="868" ht="12.0" customHeight="1">
      <c r="A868" s="1"/>
      <c r="BR868" s="3"/>
      <c r="BS868" s="3"/>
    </row>
    <row r="869" ht="12.0" customHeight="1">
      <c r="A869" s="1"/>
      <c r="BR869" s="3"/>
      <c r="BS869" s="3"/>
    </row>
    <row r="870" ht="12.0" customHeight="1">
      <c r="A870" s="1"/>
      <c r="BR870" s="3"/>
      <c r="BS870" s="3"/>
    </row>
    <row r="871" ht="12.0" customHeight="1">
      <c r="A871" s="1"/>
      <c r="BR871" s="3"/>
      <c r="BS871" s="3"/>
    </row>
    <row r="872" ht="12.0" customHeight="1">
      <c r="A872" s="1"/>
      <c r="BR872" s="3"/>
      <c r="BS872" s="3"/>
    </row>
    <row r="873" ht="12.0" customHeight="1">
      <c r="A873" s="1"/>
      <c r="BR873" s="3"/>
      <c r="BS873" s="3"/>
    </row>
    <row r="874" ht="12.0" customHeight="1">
      <c r="A874" s="1"/>
      <c r="BR874" s="3"/>
      <c r="BS874" s="3"/>
    </row>
    <row r="875" ht="12.0" customHeight="1">
      <c r="A875" s="1"/>
      <c r="BR875" s="3"/>
      <c r="BS875" s="3"/>
    </row>
    <row r="876" ht="12.0" customHeight="1">
      <c r="A876" s="1"/>
      <c r="BR876" s="3"/>
      <c r="BS876" s="3"/>
    </row>
    <row r="877" ht="12.0" customHeight="1">
      <c r="A877" s="1"/>
      <c r="BR877" s="3"/>
      <c r="BS877" s="3"/>
    </row>
    <row r="878" ht="12.0" customHeight="1">
      <c r="A878" s="1"/>
      <c r="BR878" s="3"/>
      <c r="BS878" s="3"/>
    </row>
    <row r="879" ht="12.0" customHeight="1">
      <c r="A879" s="1"/>
      <c r="BR879" s="3"/>
      <c r="BS879" s="3"/>
    </row>
    <row r="880" ht="12.0" customHeight="1">
      <c r="A880" s="1"/>
      <c r="BR880" s="3"/>
      <c r="BS880" s="3"/>
    </row>
    <row r="881" ht="12.0" customHeight="1">
      <c r="A881" s="1"/>
      <c r="BR881" s="3"/>
      <c r="BS881" s="3"/>
    </row>
    <row r="882" ht="12.0" customHeight="1">
      <c r="A882" s="1"/>
      <c r="BR882" s="3"/>
      <c r="BS882" s="3"/>
    </row>
    <row r="883" ht="12.0" customHeight="1">
      <c r="A883" s="1"/>
      <c r="BR883" s="3"/>
      <c r="BS883" s="3"/>
    </row>
    <row r="884" ht="12.0" customHeight="1">
      <c r="A884" s="1"/>
      <c r="BR884" s="3"/>
      <c r="BS884" s="3"/>
    </row>
    <row r="885" ht="12.0" customHeight="1">
      <c r="A885" s="1"/>
      <c r="BR885" s="3"/>
      <c r="BS885" s="3"/>
    </row>
    <row r="886" ht="12.0" customHeight="1">
      <c r="A886" s="1"/>
      <c r="BR886" s="3"/>
      <c r="BS886" s="3"/>
    </row>
    <row r="887" ht="12.0" customHeight="1">
      <c r="A887" s="1"/>
      <c r="BR887" s="3"/>
      <c r="BS887" s="3"/>
    </row>
    <row r="888" ht="12.0" customHeight="1">
      <c r="A888" s="1"/>
      <c r="BR888" s="3"/>
      <c r="BS888" s="3"/>
    </row>
    <row r="889" ht="12.0" customHeight="1">
      <c r="A889" s="1"/>
      <c r="BR889" s="3"/>
      <c r="BS889" s="3"/>
    </row>
    <row r="890" ht="12.0" customHeight="1">
      <c r="A890" s="1"/>
      <c r="BR890" s="3"/>
      <c r="BS890" s="3"/>
    </row>
    <row r="891" ht="12.0" customHeight="1">
      <c r="A891" s="1"/>
      <c r="BR891" s="3"/>
      <c r="BS891" s="3"/>
    </row>
    <row r="892" ht="12.0" customHeight="1">
      <c r="A892" s="1"/>
      <c r="BR892" s="3"/>
      <c r="BS892" s="3"/>
    </row>
    <row r="893" ht="12.0" customHeight="1">
      <c r="A893" s="1"/>
      <c r="BR893" s="3"/>
      <c r="BS893" s="3"/>
    </row>
    <row r="894" ht="12.0" customHeight="1">
      <c r="A894" s="1"/>
      <c r="BR894" s="3"/>
      <c r="BS894" s="3"/>
    </row>
    <row r="895" ht="12.0" customHeight="1">
      <c r="A895" s="1"/>
      <c r="BR895" s="3"/>
      <c r="BS895" s="3"/>
    </row>
    <row r="896" ht="12.0" customHeight="1">
      <c r="A896" s="1"/>
      <c r="BR896" s="3"/>
      <c r="BS896" s="3"/>
    </row>
    <row r="897" ht="12.0" customHeight="1">
      <c r="A897" s="1"/>
      <c r="BR897" s="3"/>
      <c r="BS897" s="3"/>
    </row>
    <row r="898" ht="12.0" customHeight="1">
      <c r="A898" s="1"/>
      <c r="BR898" s="3"/>
      <c r="BS898" s="3"/>
    </row>
    <row r="899" ht="12.0" customHeight="1">
      <c r="A899" s="1"/>
      <c r="BR899" s="3"/>
      <c r="BS899" s="3"/>
    </row>
    <row r="900" ht="12.0" customHeight="1">
      <c r="A900" s="1"/>
      <c r="BR900" s="3"/>
      <c r="BS900" s="3"/>
    </row>
    <row r="901" ht="12.0" customHeight="1">
      <c r="A901" s="1"/>
      <c r="BR901" s="3"/>
      <c r="BS901" s="3"/>
    </row>
    <row r="902" ht="12.0" customHeight="1">
      <c r="A902" s="1"/>
      <c r="BR902" s="3"/>
      <c r="BS902" s="3"/>
    </row>
    <row r="903" ht="12.0" customHeight="1">
      <c r="A903" s="1"/>
      <c r="BR903" s="3"/>
      <c r="BS903" s="3"/>
    </row>
    <row r="904" ht="12.0" customHeight="1">
      <c r="A904" s="1"/>
      <c r="BR904" s="3"/>
      <c r="BS904" s="3"/>
    </row>
    <row r="905" ht="12.0" customHeight="1">
      <c r="A905" s="1"/>
      <c r="BR905" s="3"/>
      <c r="BS905" s="3"/>
    </row>
    <row r="906" ht="12.0" customHeight="1">
      <c r="A906" s="1"/>
      <c r="BR906" s="3"/>
      <c r="BS906" s="3"/>
    </row>
    <row r="907" ht="12.0" customHeight="1">
      <c r="A907" s="1"/>
      <c r="BR907" s="3"/>
      <c r="BS907" s="3"/>
    </row>
    <row r="908" ht="12.0" customHeight="1">
      <c r="A908" s="1"/>
      <c r="BR908" s="3"/>
      <c r="BS908" s="3"/>
    </row>
    <row r="909" ht="12.0" customHeight="1">
      <c r="A909" s="1"/>
      <c r="BR909" s="3"/>
      <c r="BS909" s="3"/>
    </row>
    <row r="910" ht="12.0" customHeight="1">
      <c r="A910" s="1"/>
      <c r="BR910" s="3"/>
      <c r="BS910" s="3"/>
    </row>
    <row r="911" ht="12.0" customHeight="1">
      <c r="A911" s="1"/>
      <c r="BR911" s="3"/>
      <c r="BS911" s="3"/>
    </row>
    <row r="912" ht="12.0" customHeight="1">
      <c r="A912" s="1"/>
      <c r="BR912" s="3"/>
      <c r="BS912" s="3"/>
    </row>
    <row r="913" ht="12.0" customHeight="1">
      <c r="A913" s="1"/>
      <c r="BR913" s="3"/>
      <c r="BS913" s="3"/>
    </row>
    <row r="914" ht="12.0" customHeight="1">
      <c r="A914" s="1"/>
      <c r="BR914" s="3"/>
      <c r="BS914" s="3"/>
    </row>
    <row r="915" ht="12.0" customHeight="1">
      <c r="A915" s="1"/>
      <c r="BR915" s="3"/>
      <c r="BS915" s="3"/>
    </row>
    <row r="916" ht="12.0" customHeight="1">
      <c r="A916" s="1"/>
      <c r="BR916" s="3"/>
      <c r="BS916" s="3"/>
    </row>
    <row r="917" ht="12.0" customHeight="1">
      <c r="A917" s="1"/>
      <c r="BR917" s="3"/>
      <c r="BS917" s="3"/>
    </row>
    <row r="918" ht="12.0" customHeight="1">
      <c r="A918" s="1"/>
      <c r="BR918" s="3"/>
      <c r="BS918" s="3"/>
    </row>
    <row r="919" ht="12.0" customHeight="1">
      <c r="A919" s="1"/>
      <c r="BR919" s="3"/>
      <c r="BS919" s="3"/>
    </row>
    <row r="920" ht="12.0" customHeight="1">
      <c r="A920" s="1"/>
      <c r="BR920" s="3"/>
      <c r="BS920" s="3"/>
    </row>
    <row r="921" ht="12.0" customHeight="1">
      <c r="A921" s="1"/>
      <c r="BR921" s="3"/>
      <c r="BS921" s="3"/>
    </row>
    <row r="922" ht="12.0" customHeight="1">
      <c r="A922" s="1"/>
      <c r="BR922" s="3"/>
      <c r="BS922" s="3"/>
    </row>
    <row r="923" ht="12.0" customHeight="1">
      <c r="A923" s="1"/>
      <c r="BR923" s="3"/>
      <c r="BS923" s="3"/>
    </row>
    <row r="924" ht="12.0" customHeight="1">
      <c r="A924" s="1"/>
      <c r="BR924" s="3"/>
      <c r="BS924" s="3"/>
    </row>
    <row r="925" ht="12.0" customHeight="1">
      <c r="A925" s="1"/>
      <c r="BR925" s="3"/>
      <c r="BS925" s="3"/>
    </row>
    <row r="926" ht="12.0" customHeight="1">
      <c r="A926" s="1"/>
      <c r="BR926" s="3"/>
      <c r="BS926" s="3"/>
    </row>
    <row r="927" ht="12.0" customHeight="1">
      <c r="A927" s="1"/>
      <c r="BR927" s="3"/>
      <c r="BS927" s="3"/>
    </row>
    <row r="928" ht="12.0" customHeight="1">
      <c r="A928" s="1"/>
      <c r="BR928" s="3"/>
      <c r="BS928" s="3"/>
    </row>
    <row r="929" ht="12.0" customHeight="1">
      <c r="A929" s="1"/>
      <c r="BR929" s="3"/>
      <c r="BS929" s="3"/>
    </row>
    <row r="930" ht="12.0" customHeight="1">
      <c r="A930" s="1"/>
      <c r="BR930" s="3"/>
      <c r="BS930" s="3"/>
    </row>
    <row r="931" ht="12.0" customHeight="1">
      <c r="A931" s="1"/>
      <c r="BR931" s="3"/>
      <c r="BS931" s="3"/>
    </row>
    <row r="932" ht="12.0" customHeight="1">
      <c r="A932" s="1"/>
      <c r="BR932" s="3"/>
      <c r="BS932" s="3"/>
    </row>
    <row r="933" ht="12.0" customHeight="1">
      <c r="A933" s="1"/>
      <c r="BR933" s="3"/>
      <c r="BS933" s="3"/>
    </row>
    <row r="934" ht="12.0" customHeight="1">
      <c r="A934" s="1"/>
      <c r="BR934" s="3"/>
      <c r="BS934" s="3"/>
    </row>
    <row r="935" ht="12.0" customHeight="1">
      <c r="A935" s="1"/>
      <c r="BR935" s="3"/>
      <c r="BS935" s="3"/>
    </row>
    <row r="936" ht="12.0" customHeight="1">
      <c r="A936" s="1"/>
      <c r="BR936" s="3"/>
      <c r="BS936" s="3"/>
    </row>
    <row r="937" ht="12.0" customHeight="1">
      <c r="A937" s="1"/>
      <c r="BR937" s="3"/>
      <c r="BS937" s="3"/>
    </row>
    <row r="938" ht="12.0" customHeight="1">
      <c r="A938" s="1"/>
      <c r="BR938" s="3"/>
      <c r="BS938" s="3"/>
    </row>
    <row r="939" ht="12.0" customHeight="1">
      <c r="A939" s="1"/>
      <c r="BR939" s="3"/>
      <c r="BS939" s="3"/>
    </row>
    <row r="940" ht="12.0" customHeight="1">
      <c r="A940" s="1"/>
      <c r="BR940" s="3"/>
      <c r="BS940" s="3"/>
    </row>
    <row r="941" ht="12.0" customHeight="1">
      <c r="A941" s="1"/>
      <c r="BR941" s="3"/>
      <c r="BS941" s="3"/>
    </row>
    <row r="942" ht="12.0" customHeight="1">
      <c r="A942" s="1"/>
      <c r="BR942" s="3"/>
      <c r="BS942" s="3"/>
    </row>
    <row r="943" ht="12.0" customHeight="1">
      <c r="A943" s="1"/>
      <c r="BR943" s="3"/>
      <c r="BS943" s="3"/>
    </row>
    <row r="944" ht="12.0" customHeight="1">
      <c r="A944" s="1"/>
      <c r="BR944" s="3"/>
      <c r="BS944" s="3"/>
    </row>
    <row r="945" ht="12.0" customHeight="1">
      <c r="A945" s="1"/>
      <c r="BR945" s="3"/>
      <c r="BS945" s="3"/>
    </row>
    <row r="946" ht="12.0" customHeight="1">
      <c r="A946" s="1"/>
      <c r="BR946" s="3"/>
      <c r="BS946" s="3"/>
    </row>
    <row r="947" ht="12.0" customHeight="1">
      <c r="A947" s="1"/>
      <c r="BR947" s="3"/>
      <c r="BS947" s="3"/>
    </row>
    <row r="948" ht="12.0" customHeight="1">
      <c r="A948" s="1"/>
      <c r="BR948" s="3"/>
      <c r="BS948" s="3"/>
    </row>
    <row r="949" ht="12.0" customHeight="1">
      <c r="A949" s="1"/>
      <c r="BR949" s="3"/>
      <c r="BS949" s="3"/>
    </row>
    <row r="950" ht="12.0" customHeight="1">
      <c r="A950" s="1"/>
      <c r="BR950" s="3"/>
      <c r="BS950" s="3"/>
    </row>
    <row r="951" ht="12.0" customHeight="1">
      <c r="A951" s="1"/>
      <c r="BR951" s="3"/>
      <c r="BS951" s="3"/>
    </row>
    <row r="952" ht="12.0" customHeight="1">
      <c r="A952" s="1"/>
      <c r="BR952" s="3"/>
      <c r="BS952" s="3"/>
    </row>
    <row r="953" ht="12.0" customHeight="1">
      <c r="A953" s="1"/>
      <c r="BR953" s="3"/>
      <c r="BS953" s="3"/>
    </row>
    <row r="954" ht="12.0" customHeight="1">
      <c r="A954" s="1"/>
      <c r="BR954" s="3"/>
      <c r="BS954" s="3"/>
    </row>
    <row r="955" ht="12.0" customHeight="1">
      <c r="A955" s="1"/>
      <c r="BR955" s="3"/>
      <c r="BS955" s="3"/>
    </row>
    <row r="956" ht="12.0" customHeight="1">
      <c r="A956" s="1"/>
      <c r="BR956" s="3"/>
      <c r="BS956" s="3"/>
    </row>
    <row r="957" ht="12.0" customHeight="1">
      <c r="A957" s="1"/>
      <c r="BR957" s="3"/>
      <c r="BS957" s="3"/>
    </row>
    <row r="958" ht="12.0" customHeight="1">
      <c r="A958" s="1"/>
      <c r="BR958" s="3"/>
      <c r="BS958" s="3"/>
    </row>
    <row r="959" ht="12.0" customHeight="1">
      <c r="A959" s="1"/>
      <c r="BR959" s="3"/>
      <c r="BS959" s="3"/>
    </row>
    <row r="960" ht="12.0" customHeight="1">
      <c r="A960" s="1"/>
      <c r="BR960" s="3"/>
      <c r="BS960" s="3"/>
    </row>
    <row r="961" ht="12.0" customHeight="1">
      <c r="A961" s="1"/>
      <c r="BR961" s="3"/>
      <c r="BS961" s="3"/>
    </row>
    <row r="962" ht="12.0" customHeight="1">
      <c r="A962" s="1"/>
      <c r="BR962" s="3"/>
      <c r="BS962" s="3"/>
    </row>
    <row r="963" ht="12.0" customHeight="1">
      <c r="A963" s="1"/>
      <c r="BR963" s="3"/>
      <c r="BS963" s="3"/>
    </row>
    <row r="964" ht="12.0" customHeight="1">
      <c r="A964" s="1"/>
      <c r="BR964" s="3"/>
      <c r="BS964" s="3"/>
    </row>
    <row r="965" ht="12.0" customHeight="1">
      <c r="A965" s="1"/>
      <c r="BR965" s="3"/>
      <c r="BS965" s="3"/>
    </row>
    <row r="966" ht="12.0" customHeight="1">
      <c r="A966" s="1"/>
      <c r="BR966" s="3"/>
      <c r="BS966" s="3"/>
    </row>
    <row r="967" ht="12.0" customHeight="1">
      <c r="A967" s="1"/>
      <c r="BR967" s="3"/>
      <c r="BS967" s="3"/>
    </row>
    <row r="968" ht="12.0" customHeight="1">
      <c r="A968" s="1"/>
      <c r="BR968" s="3"/>
      <c r="BS968" s="3"/>
    </row>
    <row r="969" ht="12.0" customHeight="1">
      <c r="A969" s="1"/>
      <c r="BR969" s="3"/>
      <c r="BS969" s="3"/>
    </row>
    <row r="970" ht="12.0" customHeight="1">
      <c r="A970" s="1"/>
      <c r="BR970" s="3"/>
      <c r="BS970" s="3"/>
    </row>
    <row r="971" ht="12.0" customHeight="1">
      <c r="A971" s="1"/>
      <c r="BR971" s="3"/>
      <c r="BS971" s="3"/>
    </row>
    <row r="972" ht="12.0" customHeight="1">
      <c r="A972" s="1"/>
      <c r="BR972" s="3"/>
      <c r="BS972" s="3"/>
    </row>
    <row r="973" ht="12.0" customHeight="1">
      <c r="A973" s="1"/>
      <c r="BR973" s="3"/>
      <c r="BS973" s="3"/>
    </row>
    <row r="974" ht="12.0" customHeight="1">
      <c r="A974" s="1"/>
      <c r="BR974" s="3"/>
      <c r="BS974" s="3"/>
    </row>
    <row r="975" ht="12.0" customHeight="1">
      <c r="A975" s="1"/>
      <c r="BR975" s="3"/>
      <c r="BS975" s="3"/>
    </row>
    <row r="976" ht="12.0" customHeight="1">
      <c r="A976" s="1"/>
      <c r="BR976" s="3"/>
      <c r="BS976" s="3"/>
    </row>
    <row r="977" ht="12.0" customHeight="1">
      <c r="A977" s="1"/>
      <c r="BR977" s="3"/>
      <c r="BS977" s="3"/>
    </row>
    <row r="978" ht="12.0" customHeight="1">
      <c r="A978" s="1"/>
      <c r="BR978" s="3"/>
      <c r="BS978" s="3"/>
    </row>
    <row r="979" ht="12.0" customHeight="1">
      <c r="A979" s="1"/>
      <c r="BR979" s="3"/>
      <c r="BS979" s="3"/>
    </row>
    <row r="980" ht="12.0" customHeight="1">
      <c r="A980" s="1"/>
      <c r="BR980" s="3"/>
      <c r="BS980" s="3"/>
    </row>
    <row r="981" ht="12.0" customHeight="1">
      <c r="A981" s="1"/>
      <c r="BR981" s="3"/>
      <c r="BS981" s="3"/>
    </row>
    <row r="982" ht="12.0" customHeight="1">
      <c r="A982" s="1"/>
      <c r="BR982" s="3"/>
      <c r="BS982" s="3"/>
    </row>
    <row r="983" ht="12.0" customHeight="1">
      <c r="A983" s="1"/>
      <c r="BR983" s="3"/>
      <c r="BS983" s="3"/>
    </row>
    <row r="984" ht="12.0" customHeight="1">
      <c r="A984" s="1"/>
      <c r="BR984" s="3"/>
      <c r="BS984" s="3"/>
    </row>
    <row r="985" ht="12.0" customHeight="1">
      <c r="A985" s="1"/>
      <c r="BR985" s="3"/>
      <c r="BS985" s="3"/>
    </row>
    <row r="986" ht="12.0" customHeight="1">
      <c r="A986" s="1"/>
      <c r="BR986" s="3"/>
      <c r="BS986" s="3"/>
    </row>
    <row r="987" ht="12.0" customHeight="1">
      <c r="A987" s="1"/>
      <c r="BR987" s="3"/>
      <c r="BS987" s="3"/>
    </row>
    <row r="988" ht="12.0" customHeight="1">
      <c r="A988" s="1"/>
      <c r="BR988" s="3"/>
      <c r="BS988" s="3"/>
    </row>
    <row r="989" ht="12.0" customHeight="1">
      <c r="A989" s="1"/>
      <c r="BR989" s="3"/>
      <c r="BS989" s="3"/>
    </row>
    <row r="990" ht="12.0" customHeight="1">
      <c r="A990" s="1"/>
      <c r="BR990" s="3"/>
      <c r="BS990" s="3"/>
    </row>
    <row r="991" ht="12.0" customHeight="1">
      <c r="A991" s="1"/>
      <c r="BR991" s="3"/>
      <c r="BS991" s="3"/>
    </row>
    <row r="992" ht="12.0" customHeight="1">
      <c r="A992" s="1"/>
      <c r="BR992" s="3"/>
      <c r="BS992" s="3"/>
    </row>
    <row r="993" ht="12.0" customHeight="1">
      <c r="A993" s="1"/>
      <c r="BR993" s="3"/>
      <c r="BS993" s="3"/>
    </row>
    <row r="994" ht="12.0" customHeight="1">
      <c r="A994" s="1"/>
      <c r="BR994" s="3"/>
      <c r="BS994" s="3"/>
    </row>
    <row r="995" ht="12.0" customHeight="1">
      <c r="A995" s="1"/>
      <c r="BR995" s="3"/>
      <c r="BS995" s="3"/>
    </row>
    <row r="996" ht="12.0" customHeight="1">
      <c r="A996" s="1"/>
      <c r="BR996" s="3"/>
      <c r="BS996" s="3"/>
    </row>
    <row r="997" ht="12.0" customHeight="1">
      <c r="A997" s="1"/>
      <c r="BR997" s="3"/>
      <c r="BS997" s="3"/>
    </row>
    <row r="998" ht="12.0" customHeight="1">
      <c r="A998" s="1"/>
      <c r="BR998" s="3"/>
      <c r="BS998" s="3"/>
    </row>
    <row r="999" ht="12.0" customHeight="1">
      <c r="A999" s="1"/>
      <c r="BR999" s="3"/>
      <c r="BS999" s="3"/>
    </row>
    <row r="1000" ht="12.0" customHeight="1">
      <c r="A1000" s="1"/>
      <c r="BR1000" s="3"/>
      <c r="BS1000" s="3"/>
    </row>
  </sheetData>
  <mergeCells count="35">
    <mergeCell ref="D2:E2"/>
    <mergeCell ref="F2:G2"/>
    <mergeCell ref="H2:I2"/>
    <mergeCell ref="J2:K2"/>
    <mergeCell ref="L2:M2"/>
    <mergeCell ref="N2:O2"/>
    <mergeCell ref="P2:Q2"/>
    <mergeCell ref="B71:C71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BL2:BM2"/>
    <mergeCell ref="BN2:BO2"/>
    <mergeCell ref="BP2:BQ2"/>
    <mergeCell ref="BR2:BX2"/>
    <mergeCell ref="AT2:AU2"/>
    <mergeCell ref="AV2:AW2"/>
    <mergeCell ref="AX2:AY2"/>
    <mergeCell ref="AZ2:BA2"/>
    <mergeCell ref="BB2:BC2"/>
    <mergeCell ref="BD2:BE2"/>
    <mergeCell ref="BF2:BG2"/>
  </mergeCells>
  <printOptions/>
  <pageMargins bottom="0.75" footer="0.0" header="0.0" left="0.7" right="0.7" top="0.75"/>
  <pageSetup paperSize="9" orientation="portrait"/>
  <drawing r:id="rId1"/>
</worksheet>
</file>